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no\Desktop\"/>
    </mc:Choice>
  </mc:AlternateContent>
  <bookViews>
    <workbookView xWindow="0" yWindow="0" windowWidth="20490" windowHeight="7530" activeTab="8"/>
  </bookViews>
  <sheets>
    <sheet name="1" sheetId="12" r:id="rId1"/>
    <sheet name="2a" sheetId="1" r:id="rId2"/>
    <sheet name="2b" sheetId="2" r:id="rId3"/>
    <sheet name="2c.." sheetId="3" r:id="rId4"/>
    <sheet name="3 (1)" sheetId="7" r:id="rId5"/>
    <sheet name="3 (2)" sheetId="10" r:id="rId6"/>
    <sheet name="3 (3)" sheetId="11" r:id="rId7"/>
    <sheet name="4" sheetId="4" r:id="rId8"/>
    <sheet name="4 (2)" sheetId="13" r:id="rId9"/>
  </sheets>
  <definedNames>
    <definedName name="solver_adj" localSheetId="1" hidden="1">'2a'!$B$18:$I$18</definedName>
    <definedName name="solver_adj" localSheetId="2" hidden="1">'2b'!$B$11:$I$11</definedName>
    <definedName name="solver_adj" localSheetId="3" hidden="1">'2c..'!$B$7:$I$7</definedName>
    <definedName name="solver_adj" localSheetId="4" hidden="1">'3 (1)'!$B$15:$K$15</definedName>
    <definedName name="solver_adj" localSheetId="5" hidden="1">'3 (2)'!$B$15:$K$15</definedName>
    <definedName name="solver_adj" localSheetId="6" hidden="1">'3 (3)'!$B$15:$K$15</definedName>
    <definedName name="solver_adj" localSheetId="7" hidden="1">'4'!$B$12:$Q$12</definedName>
    <definedName name="solver_adj" localSheetId="8" hidden="1">'4 (2)'!$B$12:$Q$12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eng" localSheetId="1" hidden="1">2</definedName>
    <definedName name="solver_eng" localSheetId="2" hidden="1">2</definedName>
    <definedName name="solver_eng" localSheetId="3" hidden="1">2</definedName>
    <definedName name="solver_eng" localSheetId="4" hidden="1">2</definedName>
    <definedName name="solver_eng" localSheetId="5" hidden="1">2</definedName>
    <definedName name="solver_eng" localSheetId="6" hidden="1">2</definedName>
    <definedName name="solver_eng" localSheetId="7" hidden="1">2</definedName>
    <definedName name="solver_eng" localSheetId="8" hidden="1">2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itr" localSheetId="7" hidden="1">2147483647</definedName>
    <definedName name="solver_itr" localSheetId="8" hidden="1">2147483647</definedName>
    <definedName name="solver_lhs1" localSheetId="1" hidden="1">'2a'!$J$21:$J$23</definedName>
    <definedName name="solver_lhs1" localSheetId="2" hidden="1">'2b'!$B$11:$I$11</definedName>
    <definedName name="solver_lhs1" localSheetId="3" hidden="1">'2c..'!$B$7:$I$7</definedName>
    <definedName name="solver_lhs1" localSheetId="4" hidden="1">'3 (1)'!$B$15:$K$15</definedName>
    <definedName name="solver_lhs1" localSheetId="5" hidden="1">'3 (2)'!$B$15:$K$15</definedName>
    <definedName name="solver_lhs1" localSheetId="6" hidden="1">'3 (3)'!$B$15:$K$15</definedName>
    <definedName name="solver_lhs1" localSheetId="7" hidden="1">'4'!$B$12:$Q$12</definedName>
    <definedName name="solver_lhs1" localSheetId="8" hidden="1">'4 (2)'!$B$12:$Q$12</definedName>
    <definedName name="solver_lhs2" localSheetId="1" hidden="1">'2a'!$J$25</definedName>
    <definedName name="solver_lhs2" localSheetId="2" hidden="1">'2b'!$J$14:$J$16</definedName>
    <definedName name="solver_lhs2" localSheetId="3" hidden="1">'2c..'!$J$10:$J$12</definedName>
    <definedName name="solver_lhs2" localSheetId="4" hidden="1">'3 (1)'!$H$15</definedName>
    <definedName name="solver_lhs2" localSheetId="5" hidden="1">'3 (2)'!$F$15</definedName>
    <definedName name="solver_lhs2" localSheetId="6" hidden="1">'3 (3)'!$F$15</definedName>
    <definedName name="solver_lhs2" localSheetId="7" hidden="1">'4'!$R$15:$R$19</definedName>
    <definedName name="solver_lhs2" localSheetId="8" hidden="1">'4 (2)'!$R$15:$R$19</definedName>
    <definedName name="solver_lhs3" localSheetId="2" hidden="1">'2b'!$J$18</definedName>
    <definedName name="solver_lhs3" localSheetId="3" hidden="1">'2c..'!$J$14</definedName>
    <definedName name="solver_lhs3" localSheetId="4" hidden="1">'3 (1)'!$J$15</definedName>
    <definedName name="solver_lhs3" localSheetId="5" hidden="1">'3 (2)'!$J$15</definedName>
    <definedName name="solver_lhs3" localSheetId="6" hidden="1">'3 (3)'!$H$15</definedName>
    <definedName name="solver_lhs4" localSheetId="4" hidden="1">'3 (1)'!$L$18:$L$20</definedName>
    <definedName name="solver_lhs4" localSheetId="5" hidden="1">'3 (2)'!$L$18:$L$20</definedName>
    <definedName name="solver_lhs4" localSheetId="6" hidden="1">'3 (3)'!$L$18:$L$20</definedName>
    <definedName name="solver_lhs5" localSheetId="4" hidden="1">'3 (1)'!$L$22</definedName>
    <definedName name="solver_lhs5" localSheetId="5" hidden="1">'3 (2)'!$L$22</definedName>
    <definedName name="solver_lhs5" localSheetId="6" hidden="1">'3 (3)'!$L$22</definedName>
    <definedName name="solver_lhs6" localSheetId="4" hidden="1">'3 (1)'!$L$23</definedName>
    <definedName name="solver_lhs6" localSheetId="5" hidden="1">'3 (2)'!$L$23</definedName>
    <definedName name="solver_lhs6" localSheetId="6" hidden="1">'3 (3)'!$L$23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um" localSheetId="1" hidden="1">2</definedName>
    <definedName name="solver_num" localSheetId="2" hidden="1">3</definedName>
    <definedName name="solver_num" localSheetId="3" hidden="1">3</definedName>
    <definedName name="solver_num" localSheetId="4" hidden="1">6</definedName>
    <definedName name="solver_num" localSheetId="5" hidden="1">6</definedName>
    <definedName name="solver_num" localSheetId="6" hidden="1">6</definedName>
    <definedName name="solver_num" localSheetId="7" hidden="1">2</definedName>
    <definedName name="solver_num" localSheetId="8" hidden="1">2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opt" localSheetId="1" hidden="1">'2a'!$J$19</definedName>
    <definedName name="solver_opt" localSheetId="2" hidden="1">'2b'!$J$12</definedName>
    <definedName name="solver_opt" localSheetId="3" hidden="1">'2c..'!$J$8</definedName>
    <definedName name="solver_opt" localSheetId="4" hidden="1">'3 (1)'!$L$16</definedName>
    <definedName name="solver_opt" localSheetId="5" hidden="1">'3 (2)'!$L$16</definedName>
    <definedName name="solver_opt" localSheetId="6" hidden="1">'3 (3)'!$L$16</definedName>
    <definedName name="solver_opt" localSheetId="7" hidden="1">'4'!$R$13</definedName>
    <definedName name="solver_opt" localSheetId="8" hidden="1">'4 (2)'!$R$13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bv" localSheetId="7" hidden="1">1</definedName>
    <definedName name="solver_rbv" localSheetId="8" hidden="1">1</definedName>
    <definedName name="solver_rel1" localSheetId="1" hidden="1">2</definedName>
    <definedName name="solver_rel1" localSheetId="2" hidden="1">4</definedName>
    <definedName name="solver_rel1" localSheetId="3" hidden="1">4</definedName>
    <definedName name="solver_rel1" localSheetId="4" hidden="1">4</definedName>
    <definedName name="solver_rel1" localSheetId="5" hidden="1">4</definedName>
    <definedName name="solver_rel1" localSheetId="6" hidden="1">4</definedName>
    <definedName name="solver_rel1" localSheetId="7" hidden="1">4</definedName>
    <definedName name="solver_rel1" localSheetId="8" hidden="1">4</definedName>
    <definedName name="solver_rel2" localSheetId="1" hidden="1">1</definedName>
    <definedName name="solver_rel2" localSheetId="2" hidden="1">2</definedName>
    <definedName name="solver_rel2" localSheetId="3" hidden="1">2</definedName>
    <definedName name="solver_rel2" localSheetId="4" hidden="1">2</definedName>
    <definedName name="solver_rel2" localSheetId="5" hidden="1">2</definedName>
    <definedName name="solver_rel2" localSheetId="6" hidden="1">2</definedName>
    <definedName name="solver_rel2" localSheetId="7" hidden="1">2</definedName>
    <definedName name="solver_rel2" localSheetId="8" hidden="1">2</definedName>
    <definedName name="solver_rel3" localSheetId="2" hidden="1">1</definedName>
    <definedName name="solver_rel3" localSheetId="3" hidden="1">1</definedName>
    <definedName name="solver_rel3" localSheetId="4" hidden="1">2</definedName>
    <definedName name="solver_rel3" localSheetId="5" hidden="1">2</definedName>
    <definedName name="solver_rel3" localSheetId="6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5" localSheetId="4" hidden="1">3</definedName>
    <definedName name="solver_rel5" localSheetId="5" hidden="1">3</definedName>
    <definedName name="solver_rel5" localSheetId="6" hidden="1">3</definedName>
    <definedName name="solver_rel6" localSheetId="4" hidden="1">1</definedName>
    <definedName name="solver_rel6" localSheetId="5" hidden="1">1</definedName>
    <definedName name="solver_rel6" localSheetId="6" hidden="1">1</definedName>
    <definedName name="solver_rhs1" localSheetId="1" hidden="1">'2a'!$L$21:$L$23</definedName>
    <definedName name="solver_rhs1" localSheetId="2" hidden="1">integer</definedName>
    <definedName name="solver_rhs1" localSheetId="3" hidden="1">integer</definedName>
    <definedName name="solver_rhs1" localSheetId="4" hidden="1">integer</definedName>
    <definedName name="solver_rhs1" localSheetId="5" hidden="1">integer</definedName>
    <definedName name="solver_rhs1" localSheetId="6" hidden="1">integer</definedName>
    <definedName name="solver_rhs1" localSheetId="7" hidden="1">integer</definedName>
    <definedName name="solver_rhs1" localSheetId="8" hidden="1">integer</definedName>
    <definedName name="solver_rhs2" localSheetId="1" hidden="1">'2a'!$L$25</definedName>
    <definedName name="solver_rhs2" localSheetId="2" hidden="1">'2b'!$L$14:$L$16</definedName>
    <definedName name="solver_rhs2" localSheetId="3" hidden="1">'2c..'!$L$10:$L$12</definedName>
    <definedName name="solver_rhs2" localSheetId="4" hidden="1">0</definedName>
    <definedName name="solver_rhs2" localSheetId="5" hidden="1">0</definedName>
    <definedName name="solver_rhs2" localSheetId="6" hidden="1">0</definedName>
    <definedName name="solver_rhs2" localSheetId="7" hidden="1">'4'!$T$15:$T$19</definedName>
    <definedName name="solver_rhs2" localSheetId="8" hidden="1">'4 (2)'!$T$15:$T$19</definedName>
    <definedName name="solver_rhs3" localSheetId="2" hidden="1">'2b'!$L$18</definedName>
    <definedName name="solver_rhs3" localSheetId="3" hidden="1">'2c..'!$L$14</definedName>
    <definedName name="solver_rhs3" localSheetId="4" hidden="1">0</definedName>
    <definedName name="solver_rhs3" localSheetId="5" hidden="1">0</definedName>
    <definedName name="solver_rhs3" localSheetId="6" hidden="1">0</definedName>
    <definedName name="solver_rhs4" localSheetId="4" hidden="1">'3 (1)'!$N$18:$N$20</definedName>
    <definedName name="solver_rhs4" localSheetId="5" hidden="1">'3 (2)'!$N$18:$N$20</definedName>
    <definedName name="solver_rhs4" localSheetId="6" hidden="1">'3 (3)'!$N$18:$N$20</definedName>
    <definedName name="solver_rhs5" localSheetId="4" hidden="1">'3 (1)'!$N$22</definedName>
    <definedName name="solver_rhs5" localSheetId="5" hidden="1">'3 (2)'!$N$22</definedName>
    <definedName name="solver_rhs5" localSheetId="6" hidden="1">'3 (3)'!$N$22</definedName>
    <definedName name="solver_rhs6" localSheetId="4" hidden="1">'3 (1)'!$N$23</definedName>
    <definedName name="solver_rhs6" localSheetId="5" hidden="1">'3 (2)'!$N$23</definedName>
    <definedName name="solver_rhs6" localSheetId="6" hidden="1">'3 (3)'!$N$23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cl" localSheetId="7" hidden="1">1</definedName>
    <definedName name="solver_scl" localSheetId="8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im" localSheetId="7" hidden="1">2147483647</definedName>
    <definedName name="solver_tim" localSheetId="8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ol" localSheetId="7" hidden="1">0.01</definedName>
    <definedName name="solver_tol" localSheetId="8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7" hidden="1">3</definedName>
    <definedName name="solver_ver" localSheetId="8" hidden="1">3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5" i="12" l="1"/>
  <c r="U19" i="13"/>
  <c r="R19" i="13"/>
  <c r="U18" i="13"/>
  <c r="T18" i="13"/>
  <c r="R18" i="13"/>
  <c r="U17" i="13"/>
  <c r="T17" i="13"/>
  <c r="R17" i="13"/>
  <c r="U16" i="13"/>
  <c r="R16" i="13"/>
  <c r="U15" i="13"/>
  <c r="R15" i="13"/>
  <c r="R13" i="13"/>
  <c r="U16" i="4"/>
  <c r="U17" i="4"/>
  <c r="U18" i="4"/>
  <c r="U19" i="4"/>
  <c r="U15" i="4"/>
  <c r="T18" i="4"/>
  <c r="T17" i="4"/>
  <c r="R15" i="4"/>
  <c r="R16" i="4"/>
  <c r="R17" i="4"/>
  <c r="R18" i="4"/>
  <c r="R19" i="4"/>
  <c r="AD16" i="12"/>
  <c r="B33" i="12" s="1"/>
  <c r="E26" i="12" s="1"/>
  <c r="AC16" i="12"/>
  <c r="AB16" i="12"/>
  <c r="AA16" i="12"/>
  <c r="Z16" i="12"/>
  <c r="V16" i="12"/>
  <c r="U16" i="12"/>
  <c r="T16" i="12"/>
  <c r="W16" i="12" s="1"/>
  <c r="E23" i="12" s="1"/>
  <c r="P16" i="12"/>
  <c r="O16" i="12"/>
  <c r="N16" i="12"/>
  <c r="Q16" i="12" s="1"/>
  <c r="D23" i="12" s="1"/>
  <c r="J16" i="12"/>
  <c r="I16" i="12"/>
  <c r="H16" i="12"/>
  <c r="K16" i="12" s="1"/>
  <c r="C23" i="12" s="1"/>
  <c r="D16" i="12"/>
  <c r="C16" i="12"/>
  <c r="B16" i="12"/>
  <c r="E16" i="12" s="1"/>
  <c r="B23" i="12" s="1"/>
  <c r="AC15" i="12"/>
  <c r="AB15" i="12"/>
  <c r="AA15" i="12"/>
  <c r="Z15" i="12"/>
  <c r="AD15" i="12" s="1"/>
  <c r="B32" i="12" s="1"/>
  <c r="D26" i="12" s="1"/>
  <c r="V15" i="12"/>
  <c r="U15" i="12"/>
  <c r="T15" i="12"/>
  <c r="W15" i="12" s="1"/>
  <c r="E22" i="12" s="1"/>
  <c r="P15" i="12"/>
  <c r="N15" i="12"/>
  <c r="Q15" i="12" s="1"/>
  <c r="D22" i="12" s="1"/>
  <c r="J15" i="12"/>
  <c r="I15" i="12"/>
  <c r="H15" i="12"/>
  <c r="K15" i="12" s="1"/>
  <c r="C22" i="12" s="1"/>
  <c r="D15" i="12"/>
  <c r="C15" i="12"/>
  <c r="B15" i="12"/>
  <c r="E15" i="12" s="1"/>
  <c r="B22" i="12" s="1"/>
  <c r="G22" i="12" s="1"/>
  <c r="AC14" i="12"/>
  <c r="AB14" i="12"/>
  <c r="AA14" i="12"/>
  <c r="Z14" i="12"/>
  <c r="AD14" i="12" s="1"/>
  <c r="B31" i="12" s="1"/>
  <c r="C26" i="12" s="1"/>
  <c r="V14" i="12"/>
  <c r="W14" i="12" s="1"/>
  <c r="E21" i="12" s="1"/>
  <c r="U14" i="12"/>
  <c r="T14" i="12"/>
  <c r="P14" i="12"/>
  <c r="Q14" i="12" s="1"/>
  <c r="D21" i="12" s="1"/>
  <c r="O14" i="12"/>
  <c r="N14" i="12"/>
  <c r="J14" i="12"/>
  <c r="K14" i="12" s="1"/>
  <c r="C21" i="12" s="1"/>
  <c r="I14" i="12"/>
  <c r="H14" i="12"/>
  <c r="D14" i="12"/>
  <c r="E14" i="12" s="1"/>
  <c r="B21" i="12" s="1"/>
  <c r="C14" i="12"/>
  <c r="B14" i="12"/>
  <c r="AC13" i="12"/>
  <c r="AB13" i="12"/>
  <c r="AA13" i="12"/>
  <c r="Z13" i="12"/>
  <c r="AD13" i="12" s="1"/>
  <c r="B30" i="12" s="1"/>
  <c r="B26" i="12" s="1"/>
  <c r="AC9" i="12"/>
  <c r="AB9" i="12"/>
  <c r="AA9" i="12"/>
  <c r="Z9" i="12"/>
  <c r="V7" i="12"/>
  <c r="U7" i="12"/>
  <c r="T7" i="12"/>
  <c r="P7" i="12"/>
  <c r="O7" i="12"/>
  <c r="N7" i="12"/>
  <c r="J7" i="12"/>
  <c r="I7" i="12"/>
  <c r="H7" i="12"/>
  <c r="D7" i="12"/>
  <c r="C7" i="12"/>
  <c r="B7" i="12"/>
  <c r="G21" i="12" l="1"/>
  <c r="G23" i="12"/>
  <c r="R13" i="4" l="1"/>
  <c r="O18" i="10"/>
  <c r="O23" i="11"/>
  <c r="L23" i="11"/>
  <c r="O22" i="11"/>
  <c r="L22" i="11"/>
  <c r="O20" i="11"/>
  <c r="L20" i="11"/>
  <c r="O19" i="11"/>
  <c r="L19" i="11"/>
  <c r="O18" i="11"/>
  <c r="L18" i="11"/>
  <c r="L16" i="11"/>
  <c r="O23" i="10"/>
  <c r="L23" i="10"/>
  <c r="O22" i="10"/>
  <c r="L22" i="10"/>
  <c r="O20" i="10"/>
  <c r="L20" i="10"/>
  <c r="O19" i="10"/>
  <c r="L19" i="10"/>
  <c r="L18" i="10"/>
  <c r="L16" i="10"/>
  <c r="O22" i="7"/>
  <c r="O23" i="7"/>
  <c r="O20" i="7"/>
  <c r="L16" i="7"/>
  <c r="L19" i="7"/>
  <c r="L18" i="7"/>
  <c r="L20" i="7"/>
  <c r="L22" i="7"/>
  <c r="L23" i="7"/>
  <c r="J14" i="3"/>
  <c r="J8" i="3"/>
  <c r="J11" i="3"/>
  <c r="J12" i="3"/>
  <c r="J10" i="3"/>
  <c r="M11" i="3"/>
  <c r="M12" i="3"/>
  <c r="M10" i="3"/>
  <c r="O19" i="7"/>
  <c r="O18" i="7"/>
  <c r="J19" i="1"/>
  <c r="J23" i="1"/>
  <c r="J21" i="1"/>
  <c r="J12" i="2"/>
  <c r="M15" i="2"/>
  <c r="M14" i="2"/>
  <c r="J14" i="2"/>
  <c r="J15" i="2"/>
  <c r="J16" i="2"/>
  <c r="J18" i="2"/>
  <c r="M16" i="2"/>
  <c r="M21" i="1" l="1"/>
  <c r="M22" i="1"/>
  <c r="M23" i="1"/>
  <c r="J25" i="1"/>
  <c r="J22" i="1"/>
</calcChain>
</file>

<file path=xl/comments1.xml><?xml version="1.0" encoding="utf-8"?>
<comments xmlns="http://schemas.openxmlformats.org/spreadsheetml/2006/main">
  <authors>
    <author>Raju Balakrishnan</author>
  </authors>
  <commentList>
    <comment ref="D18" authorId="0" shapeId="0">
      <text>
        <r>
          <rPr>
            <sz val="8"/>
            <color indexed="81"/>
            <rFont val="Tahoma"/>
            <family val="2"/>
          </rPr>
          <t>Rank R1</t>
        </r>
        <r>
          <rPr>
            <sz val="8"/>
            <color indexed="81"/>
            <rFont val="Tahoma"/>
            <family val="2"/>
          </rPr>
          <t xml:space="preserve"> goal is to minimize d</t>
        </r>
        <r>
          <rPr>
            <vertAlign val="subscript"/>
            <sz val="8"/>
            <color indexed="81"/>
            <rFont val="Tahoma"/>
            <family val="2"/>
          </rPr>
          <t>T</t>
        </r>
        <r>
          <rPr>
            <vertAlign val="superscript"/>
            <sz val="8"/>
            <color indexed="81"/>
            <rFont val="Tahoma"/>
            <family val="2"/>
          </rPr>
          <t>+</t>
        </r>
      </text>
    </comment>
    <comment ref="J19" authorId="0" shapeId="0">
      <text>
        <r>
          <rPr>
            <sz val="8"/>
            <color indexed="81"/>
            <rFont val="Tahoma"/>
            <family val="2"/>
          </rPr>
          <t xml:space="preserve">Rank R1 goal is fully achieved.
</t>
        </r>
      </text>
    </comment>
    <comment ref="M20" authorId="0" shapeId="0">
      <text>
        <r>
          <rPr>
            <sz val="8"/>
            <color indexed="81"/>
            <rFont val="Tahoma"/>
            <family val="2"/>
          </rPr>
          <t xml:space="preserve">Entries show how much of each goal has been achieved.
</t>
        </r>
      </text>
    </comment>
  </commentList>
</comments>
</file>

<file path=xl/comments2.xml><?xml version="1.0" encoding="utf-8"?>
<comments xmlns="http://schemas.openxmlformats.org/spreadsheetml/2006/main">
  <authors>
    <author>Raju Balakrishnan</author>
  </authors>
  <commentList>
    <comment ref="D11" authorId="0" shapeId="0">
      <text>
        <r>
          <rPr>
            <sz val="8"/>
            <color indexed="81"/>
            <rFont val="Tahoma"/>
            <family val="2"/>
          </rPr>
          <t>Rank R1</t>
        </r>
        <r>
          <rPr>
            <sz val="8"/>
            <color indexed="81"/>
            <rFont val="Tahoma"/>
            <family val="2"/>
          </rPr>
          <t xml:space="preserve"> goal is to minimize d</t>
        </r>
        <r>
          <rPr>
            <vertAlign val="subscript"/>
            <sz val="8"/>
            <color indexed="81"/>
            <rFont val="Tahoma"/>
            <family val="2"/>
          </rPr>
          <t>T</t>
        </r>
        <r>
          <rPr>
            <vertAlign val="superscript"/>
            <sz val="8"/>
            <color indexed="81"/>
            <rFont val="Tahoma"/>
            <family val="2"/>
          </rPr>
          <t>+</t>
        </r>
      </text>
    </comment>
    <comment ref="J12" authorId="0" shapeId="0">
      <text>
        <r>
          <rPr>
            <sz val="8"/>
            <color indexed="81"/>
            <rFont val="Tahoma"/>
            <family val="2"/>
          </rPr>
          <t xml:space="preserve">Rank R1 goal is fully achieved.
</t>
        </r>
      </text>
    </comment>
    <comment ref="M13" authorId="0" shapeId="0">
      <text>
        <r>
          <rPr>
            <sz val="8"/>
            <color indexed="81"/>
            <rFont val="Tahoma"/>
            <family val="2"/>
          </rPr>
          <t xml:space="preserve">Entries show how much of each goal has been achieved.
</t>
        </r>
      </text>
    </comment>
  </commentList>
</comments>
</file>

<file path=xl/comments3.xml><?xml version="1.0" encoding="utf-8"?>
<comments xmlns="http://schemas.openxmlformats.org/spreadsheetml/2006/main">
  <authors>
    <author>Raju Balakrishnan</author>
  </authors>
  <commentList>
    <comment ref="D7" authorId="0" shapeId="0">
      <text>
        <r>
          <rPr>
            <sz val="8"/>
            <color indexed="81"/>
            <rFont val="Tahoma"/>
            <family val="2"/>
          </rPr>
          <t>Rank R1</t>
        </r>
        <r>
          <rPr>
            <sz val="8"/>
            <color indexed="81"/>
            <rFont val="Tahoma"/>
            <family val="2"/>
          </rPr>
          <t xml:space="preserve"> goal is to minimize d</t>
        </r>
        <r>
          <rPr>
            <vertAlign val="subscript"/>
            <sz val="8"/>
            <color indexed="81"/>
            <rFont val="Tahoma"/>
            <family val="2"/>
          </rPr>
          <t>T</t>
        </r>
        <r>
          <rPr>
            <vertAlign val="superscript"/>
            <sz val="8"/>
            <color indexed="81"/>
            <rFont val="Tahoma"/>
            <family val="2"/>
          </rPr>
          <t>+</t>
        </r>
      </text>
    </comment>
    <comment ref="J8" authorId="0" shapeId="0">
      <text>
        <r>
          <rPr>
            <sz val="8"/>
            <color indexed="81"/>
            <rFont val="Tahoma"/>
            <family val="2"/>
          </rPr>
          <t xml:space="preserve">Rank R1 goal is fully achieved.
</t>
        </r>
      </text>
    </comment>
    <comment ref="M9" authorId="0" shapeId="0">
      <text>
        <r>
          <rPr>
            <sz val="8"/>
            <color indexed="81"/>
            <rFont val="Tahoma"/>
            <family val="2"/>
          </rPr>
          <t xml:space="preserve">Entries show how much of each goal has been achieved.
</t>
        </r>
      </text>
    </comment>
  </commentList>
</comments>
</file>

<file path=xl/comments4.xml><?xml version="1.0" encoding="utf-8"?>
<comments xmlns="http://schemas.openxmlformats.org/spreadsheetml/2006/main">
  <authors>
    <author>Raju Balakrishnan</author>
  </authors>
  <commentList>
    <comment ref="F15" authorId="0" shapeId="0">
      <text>
        <r>
          <rPr>
            <sz val="8"/>
            <color indexed="81"/>
            <rFont val="Tahoma"/>
            <family val="2"/>
          </rPr>
          <t>Rank R1</t>
        </r>
        <r>
          <rPr>
            <sz val="8"/>
            <color indexed="81"/>
            <rFont val="Tahoma"/>
            <family val="2"/>
          </rPr>
          <t xml:space="preserve"> goal is to minimize d</t>
        </r>
        <r>
          <rPr>
            <vertAlign val="subscript"/>
            <sz val="8"/>
            <color indexed="81"/>
            <rFont val="Tahoma"/>
            <family val="2"/>
          </rPr>
          <t>T</t>
        </r>
        <r>
          <rPr>
            <vertAlign val="superscript"/>
            <sz val="8"/>
            <color indexed="81"/>
            <rFont val="Tahoma"/>
            <family val="2"/>
          </rPr>
          <t>+</t>
        </r>
      </text>
    </comment>
    <comment ref="L16" authorId="0" shapeId="0">
      <text>
        <r>
          <rPr>
            <sz val="8"/>
            <color indexed="81"/>
            <rFont val="Tahoma"/>
            <family val="2"/>
          </rPr>
          <t xml:space="preserve">Rank R1 goal is fully achieved.
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 xml:space="preserve">Entries show how much of each goal has been achieved.
</t>
        </r>
      </text>
    </comment>
  </commentList>
</comments>
</file>

<file path=xl/comments5.xml><?xml version="1.0" encoding="utf-8"?>
<comments xmlns="http://schemas.openxmlformats.org/spreadsheetml/2006/main">
  <authors>
    <author>Raju Balakrishnan</author>
  </authors>
  <commentList>
    <comment ref="F15" authorId="0" shapeId="0">
      <text>
        <r>
          <rPr>
            <sz val="8"/>
            <color indexed="81"/>
            <rFont val="Tahoma"/>
            <family val="2"/>
          </rPr>
          <t>Rank R1</t>
        </r>
        <r>
          <rPr>
            <sz val="8"/>
            <color indexed="81"/>
            <rFont val="Tahoma"/>
            <family val="2"/>
          </rPr>
          <t xml:space="preserve"> goal is to minimize d</t>
        </r>
        <r>
          <rPr>
            <vertAlign val="subscript"/>
            <sz val="8"/>
            <color indexed="81"/>
            <rFont val="Tahoma"/>
            <family val="2"/>
          </rPr>
          <t>T</t>
        </r>
        <r>
          <rPr>
            <vertAlign val="superscript"/>
            <sz val="8"/>
            <color indexed="81"/>
            <rFont val="Tahoma"/>
            <family val="2"/>
          </rPr>
          <t>+</t>
        </r>
      </text>
    </comment>
    <comment ref="L16" authorId="0" shapeId="0">
      <text>
        <r>
          <rPr>
            <sz val="8"/>
            <color indexed="81"/>
            <rFont val="Tahoma"/>
            <family val="2"/>
          </rPr>
          <t xml:space="preserve">Rank R1 goal is fully achieved.
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 xml:space="preserve">Entries show how much of each goal has been achieved.
</t>
        </r>
      </text>
    </comment>
  </commentList>
</comments>
</file>

<file path=xl/comments6.xml><?xml version="1.0" encoding="utf-8"?>
<comments xmlns="http://schemas.openxmlformats.org/spreadsheetml/2006/main">
  <authors>
    <author>Raju Balakrishnan</author>
  </authors>
  <commentList>
    <comment ref="F15" authorId="0" shapeId="0">
      <text>
        <r>
          <rPr>
            <sz val="8"/>
            <color indexed="81"/>
            <rFont val="Tahoma"/>
            <family val="2"/>
          </rPr>
          <t>Rank R1</t>
        </r>
        <r>
          <rPr>
            <sz val="8"/>
            <color indexed="81"/>
            <rFont val="Tahoma"/>
            <family val="2"/>
          </rPr>
          <t xml:space="preserve"> goal is to minimize d</t>
        </r>
        <r>
          <rPr>
            <vertAlign val="subscript"/>
            <sz val="8"/>
            <color indexed="81"/>
            <rFont val="Tahoma"/>
            <family val="2"/>
          </rPr>
          <t>T</t>
        </r>
        <r>
          <rPr>
            <vertAlign val="superscript"/>
            <sz val="8"/>
            <color indexed="81"/>
            <rFont val="Tahoma"/>
            <family val="2"/>
          </rPr>
          <t>+</t>
        </r>
      </text>
    </comment>
    <comment ref="L16" authorId="0" shapeId="0">
      <text>
        <r>
          <rPr>
            <sz val="8"/>
            <color indexed="81"/>
            <rFont val="Tahoma"/>
            <family val="2"/>
          </rPr>
          <t xml:space="preserve">Rank R1 goal is fully achieved.
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 xml:space="preserve">Entries show how much of each goal has been achieved.
</t>
        </r>
      </text>
    </comment>
  </commentList>
</comments>
</file>

<file path=xl/comments7.xml><?xml version="1.0" encoding="utf-8"?>
<comments xmlns="http://schemas.openxmlformats.org/spreadsheetml/2006/main">
  <authors>
    <author>Raju Balakrishnan</author>
  </authors>
  <commentList>
    <comment ref="H12" authorId="0" shapeId="0">
      <text>
        <r>
          <rPr>
            <sz val="8"/>
            <color indexed="81"/>
            <rFont val="Tahoma"/>
            <family val="2"/>
          </rPr>
          <t>Rank R1</t>
        </r>
        <r>
          <rPr>
            <sz val="8"/>
            <color indexed="81"/>
            <rFont val="Tahoma"/>
            <family val="2"/>
          </rPr>
          <t xml:space="preserve"> goal is to minimize d</t>
        </r>
        <r>
          <rPr>
            <vertAlign val="subscript"/>
            <sz val="8"/>
            <color indexed="81"/>
            <rFont val="Tahoma"/>
            <family val="2"/>
          </rPr>
          <t>T</t>
        </r>
        <r>
          <rPr>
            <vertAlign val="superscript"/>
            <sz val="8"/>
            <color indexed="81"/>
            <rFont val="Tahoma"/>
            <family val="2"/>
          </rPr>
          <t>+</t>
        </r>
      </text>
    </comment>
    <comment ref="R13" authorId="0" shapeId="0">
      <text>
        <r>
          <rPr>
            <sz val="8"/>
            <color indexed="81"/>
            <rFont val="Tahoma"/>
            <family val="2"/>
          </rPr>
          <t xml:space="preserve">Rank R1 goal is fully achieved.
</t>
        </r>
      </text>
    </comment>
    <comment ref="U14" authorId="0" shapeId="0">
      <text>
        <r>
          <rPr>
            <sz val="8"/>
            <color indexed="81"/>
            <rFont val="Tahoma"/>
            <family val="2"/>
          </rPr>
          <t xml:space="preserve">Entries show how much of each goal has been achieved.
</t>
        </r>
      </text>
    </comment>
  </commentList>
</comments>
</file>

<file path=xl/comments8.xml><?xml version="1.0" encoding="utf-8"?>
<comments xmlns="http://schemas.openxmlformats.org/spreadsheetml/2006/main">
  <authors>
    <author>Raju Balakrishnan</author>
  </authors>
  <commentList>
    <comment ref="H12" authorId="0" shapeId="0">
      <text>
        <r>
          <rPr>
            <sz val="8"/>
            <color indexed="81"/>
            <rFont val="Tahoma"/>
            <family val="2"/>
          </rPr>
          <t>Rank R1</t>
        </r>
        <r>
          <rPr>
            <sz val="8"/>
            <color indexed="81"/>
            <rFont val="Tahoma"/>
            <family val="2"/>
          </rPr>
          <t xml:space="preserve"> goal is to minimize d</t>
        </r>
        <r>
          <rPr>
            <vertAlign val="subscript"/>
            <sz val="8"/>
            <color indexed="81"/>
            <rFont val="Tahoma"/>
            <family val="2"/>
          </rPr>
          <t>T</t>
        </r>
        <r>
          <rPr>
            <vertAlign val="superscript"/>
            <sz val="8"/>
            <color indexed="81"/>
            <rFont val="Tahoma"/>
            <family val="2"/>
          </rPr>
          <t>+</t>
        </r>
      </text>
    </comment>
    <comment ref="R13" authorId="0" shapeId="0">
      <text>
        <r>
          <rPr>
            <sz val="8"/>
            <color indexed="81"/>
            <rFont val="Tahoma"/>
            <family val="2"/>
          </rPr>
          <t xml:space="preserve">Rank R1 goal is fully achieved.
</t>
        </r>
      </text>
    </comment>
    <comment ref="U14" authorId="0" shapeId="0">
      <text>
        <r>
          <rPr>
            <sz val="8"/>
            <color indexed="81"/>
            <rFont val="Tahoma"/>
            <family val="2"/>
          </rPr>
          <t xml:space="preserve">Entries show how much of each goal has been achieved.
</t>
        </r>
      </text>
    </comment>
  </commentList>
</comments>
</file>

<file path=xl/sharedStrings.xml><?xml version="1.0" encoding="utf-8"?>
<sst xmlns="http://schemas.openxmlformats.org/spreadsheetml/2006/main" count="471" uniqueCount="135">
  <si>
    <t>TV</t>
  </si>
  <si>
    <t>Magazine</t>
  </si>
  <si>
    <t>HIW</t>
  </si>
  <si>
    <t>TB</t>
  </si>
  <si>
    <t>RM</t>
  </si>
  <si>
    <t>Cost</t>
  </si>
  <si>
    <t>Budget:</t>
  </si>
  <si>
    <t>Q1)</t>
  </si>
  <si>
    <t>Goal #</t>
  </si>
  <si>
    <t>Rank</t>
  </si>
  <si>
    <t>Solve GP</t>
  </si>
  <si>
    <t>Solution value</t>
  </si>
  <si>
    <t>Constraints:</t>
  </si>
  <si>
    <t>Achieved</t>
  </si>
  <si>
    <t>=</t>
  </si>
  <si>
    <t>&lt;=</t>
  </si>
  <si>
    <t>LHS</t>
  </si>
  <si>
    <t>Sign</t>
  </si>
  <si>
    <t>RHS</t>
  </si>
  <si>
    <t>$</t>
  </si>
  <si>
    <t>= underachieving Goal 1</t>
  </si>
  <si>
    <r>
      <t>Let d1</t>
    </r>
    <r>
      <rPr>
        <vertAlign val="superscript"/>
        <sz val="10"/>
        <rFont val="Arial"/>
        <family val="2"/>
      </rPr>
      <t>-</t>
    </r>
  </si>
  <si>
    <r>
      <t>Let d2</t>
    </r>
    <r>
      <rPr>
        <vertAlign val="superscript"/>
        <sz val="10"/>
        <rFont val="Arial"/>
        <family val="2"/>
      </rPr>
      <t>-</t>
    </r>
  </si>
  <si>
    <t>Let d3-</t>
  </si>
  <si>
    <t>= underachieving Goal 2</t>
  </si>
  <si>
    <t>= underachieving Goal 3</t>
  </si>
  <si>
    <t>Let d1+</t>
  </si>
  <si>
    <t>Let d2+</t>
  </si>
  <si>
    <t>Let d3+</t>
  </si>
  <si>
    <t>= overachieving Goal 1</t>
  </si>
  <si>
    <t>= overachieving Goal 2</t>
  </si>
  <si>
    <t>= overachieving Goal 3</t>
  </si>
  <si>
    <t>d1-</t>
  </si>
  <si>
    <t>d1+</t>
  </si>
  <si>
    <t>d2-</t>
  </si>
  <si>
    <t>d2+</t>
  </si>
  <si>
    <t>d3-</t>
  </si>
  <si>
    <t>d3+</t>
  </si>
  <si>
    <t>Let TV investement= X</t>
  </si>
  <si>
    <t>Let Magazine investment= Y</t>
  </si>
  <si>
    <t>Goal 1</t>
  </si>
  <si>
    <t>Goal 2</t>
  </si>
  <si>
    <t>Goal 3</t>
  </si>
  <si>
    <t>X</t>
  </si>
  <si>
    <t>Y</t>
  </si>
  <si>
    <t>Goal Weights</t>
  </si>
  <si>
    <t>Over achieving Goal 1</t>
  </si>
  <si>
    <t>Under achieving Goal 1</t>
  </si>
  <si>
    <t>Over achieving Goal 2</t>
  </si>
  <si>
    <t>Under achieving Goal 2</t>
  </si>
  <si>
    <t>Under achieving Goal 3</t>
  </si>
  <si>
    <t>Over achieving Goal 3</t>
  </si>
  <si>
    <t>R1</t>
  </si>
  <si>
    <t>R2</t>
  </si>
  <si>
    <r>
      <rPr>
        <b/>
        <sz val="11"/>
        <color theme="1"/>
        <rFont val="Calibri"/>
        <family val="2"/>
        <scheme val="minor"/>
      </rPr>
      <t>Q3)</t>
    </r>
    <r>
      <rPr>
        <sz val="11"/>
        <color theme="1"/>
        <rFont val="Calibri"/>
        <family val="2"/>
        <scheme val="minor"/>
      </rPr>
      <t xml:space="preserve"> If all the goals are 100 million, what is the best solution to weighted GP?</t>
    </r>
  </si>
  <si>
    <t>Let A,B,C,D,E,F= investment variables</t>
  </si>
  <si>
    <t xml:space="preserve"> </t>
  </si>
  <si>
    <t>G1</t>
  </si>
  <si>
    <t>A+B+C+D+F+d1-</t>
  </si>
  <si>
    <t>G2</t>
  </si>
  <si>
    <t>G3</t>
  </si>
  <si>
    <t>G4</t>
  </si>
  <si>
    <t>G5</t>
  </si>
  <si>
    <t>=9000</t>
  </si>
  <si>
    <t>=1000</t>
  </si>
  <si>
    <t>=3%55000</t>
  </si>
  <si>
    <t>=10%9000</t>
  </si>
  <si>
    <t>F+d4- - d4+</t>
  </si>
  <si>
    <t>B + d3- - d3+</t>
  </si>
  <si>
    <t>3.5%A+4.5%B+8%C+7%D+7.5%E+5.5%F+d2- - d2+</t>
  </si>
  <si>
    <t>=25%9000</t>
  </si>
  <si>
    <t>A+B+C+d5- -d5+</t>
  </si>
  <si>
    <t>Let</t>
  </si>
  <si>
    <t>X1=number of basketball courts</t>
  </si>
  <si>
    <t>X2=number of bseball fields</t>
  </si>
  <si>
    <t>X3=number of playgrounds</t>
  </si>
  <si>
    <t>X4=Soccer fields</t>
  </si>
  <si>
    <t>3.5 million Budget</t>
  </si>
  <si>
    <t>=3,500,000</t>
  </si>
  <si>
    <r>
      <t>700X1+1000X2+800X3+1200X4+d2</t>
    </r>
    <r>
      <rPr>
        <vertAlign val="superscript"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 xml:space="preserve"> -d2</t>
    </r>
    <r>
      <rPr>
        <vertAlign val="superscript"/>
        <sz val="11"/>
        <color theme="1"/>
        <rFont val="Calibri"/>
        <family val="2"/>
        <scheme val="minor"/>
      </rPr>
      <t>+</t>
    </r>
    <r>
      <rPr>
        <sz val="11"/>
        <color theme="1"/>
        <rFont val="Calibri"/>
        <family val="2"/>
        <scheme val="minor"/>
      </rPr>
      <t xml:space="preserve"> </t>
    </r>
  </si>
  <si>
    <r>
      <t>3000X1+6000X2+3000X3+7000X4+d</t>
    </r>
    <r>
      <rPr>
        <vertAlign val="subscript"/>
        <sz val="11"/>
        <color theme="1"/>
        <rFont val="Calibri"/>
        <family val="2"/>
        <scheme val="minor"/>
      </rPr>
      <t>3</t>
    </r>
    <r>
      <rPr>
        <vertAlign val="superscript"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 xml:space="preserve"> -d</t>
    </r>
    <r>
      <rPr>
        <vertAlign val="subscript"/>
        <sz val="11"/>
        <color theme="1"/>
        <rFont val="Calibri"/>
        <family val="2"/>
        <scheme val="minor"/>
      </rPr>
      <t>3</t>
    </r>
    <r>
      <rPr>
        <vertAlign val="superscript"/>
        <sz val="11"/>
        <color theme="1"/>
        <rFont val="Calibri"/>
        <family val="2"/>
        <scheme val="minor"/>
      </rPr>
      <t>+</t>
    </r>
  </si>
  <si>
    <t>=80000</t>
  </si>
  <si>
    <t>= 15000</t>
  </si>
  <si>
    <t>X1</t>
  </si>
  <si>
    <t>X2</t>
  </si>
  <si>
    <t>X3</t>
  </si>
  <si>
    <t>X4</t>
  </si>
  <si>
    <t>Basketball</t>
  </si>
  <si>
    <t>Baseball</t>
  </si>
  <si>
    <t>Playgrounds</t>
  </si>
  <si>
    <t>Soccer</t>
  </si>
  <si>
    <t>Q3)</t>
  </si>
  <si>
    <r>
      <t>X1+X2+X3+X4+d1</t>
    </r>
    <r>
      <rPr>
        <vertAlign val="superscript"/>
        <sz val="11"/>
        <color theme="1"/>
        <rFont val="Calibri"/>
        <family val="2"/>
        <scheme val="minor"/>
      </rPr>
      <t xml:space="preserve">- </t>
    </r>
  </si>
  <si>
    <t>Facilities</t>
  </si>
  <si>
    <t>Acres</t>
  </si>
  <si>
    <t>Building Constraints:</t>
  </si>
  <si>
    <t>≤</t>
  </si>
  <si>
    <t>≥</t>
  </si>
  <si>
    <t>A</t>
  </si>
  <si>
    <t>C</t>
  </si>
  <si>
    <t>D</t>
  </si>
  <si>
    <t>E</t>
  </si>
  <si>
    <t>F</t>
  </si>
  <si>
    <t xml:space="preserve">B </t>
  </si>
  <si>
    <t>d4-</t>
  </si>
  <si>
    <t>d4+</t>
  </si>
  <si>
    <t>d5-</t>
  </si>
  <si>
    <t>d5+</t>
  </si>
  <si>
    <t>Goal 4</t>
  </si>
  <si>
    <t>Goal 5</t>
  </si>
  <si>
    <t>COST</t>
  </si>
  <si>
    <t>DISPLAY-RESOLUTION</t>
  </si>
  <si>
    <t>BATTERY LIFE</t>
  </si>
  <si>
    <t>INTERNAL STORAGE</t>
  </si>
  <si>
    <t>CRITERIA</t>
  </si>
  <si>
    <t>Smartphone</t>
  </si>
  <si>
    <t>1. COST 2. DISPLAY RESOLUTION 3. BATTERY LIFE 4. INTERNAL STORAGE</t>
  </si>
  <si>
    <t>DISPLAY RESOLUTION</t>
  </si>
  <si>
    <t>SUM</t>
  </si>
  <si>
    <t>NORMALIZED MATRICES:</t>
  </si>
  <si>
    <t>DISPLAY - RESOLUTION</t>
  </si>
  <si>
    <t>DISPLAY</t>
  </si>
  <si>
    <t xml:space="preserve"> BATTERY</t>
  </si>
  <si>
    <t>INTERNAL</t>
  </si>
  <si>
    <t>AVG</t>
  </si>
  <si>
    <t>AVERAGE</t>
  </si>
  <si>
    <t>BATTERY</t>
  </si>
  <si>
    <t xml:space="preserve">INTERNAL </t>
  </si>
  <si>
    <t>SCORE</t>
  </si>
  <si>
    <t>WEIGHTS:</t>
  </si>
  <si>
    <t>WEIGHTS</t>
  </si>
  <si>
    <t>Choose smartphone #3</t>
  </si>
  <si>
    <t>#1</t>
  </si>
  <si>
    <t>#2</t>
  </si>
  <si>
    <t>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</si>
</sst>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164" formatCode="_(* #,##0.00_);_(* \(#,##0\);_(* &quot;-&quot;??_);_(@_)"/>
    <numFmt numFmtId="165" formatCode="_(* #,##0_);_(* \(#,##0\);_(* &quot;-&quot;??_);_(@_)"/>
    <numFmt numFmtId="170" formatCode="0.000"/>
    <numFmt numFmtId="172" formatCode="#,##0.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sz val="8"/>
      <color indexed="81"/>
      <name val="Tahoma"/>
      <family val="2"/>
    </font>
    <font>
      <vertAlign val="subscript"/>
      <sz val="8"/>
      <color indexed="81"/>
      <name val="Tahoma"/>
      <family val="2"/>
    </font>
    <font>
      <vertAlign val="superscript"/>
      <sz val="8"/>
      <color indexed="81"/>
      <name val="Tahoma"/>
      <family val="2"/>
    </font>
    <font>
      <b/>
      <sz val="18"/>
      <color rgb="FF00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22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/>
  </cellStyleXfs>
  <cellXfs count="126">
    <xf numFmtId="0" fontId="0" fillId="0" borderId="0" xfId="0"/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Fill="1" applyBorder="1" applyAlignment="1">
      <alignment horizontal="center"/>
    </xf>
    <xf numFmtId="44" fontId="0" fillId="0" borderId="0" xfId="1" applyFont="1"/>
    <xf numFmtId="0" fontId="0" fillId="0" borderId="0" xfId="0" applyAlignment="1">
      <alignment horizontal="center" vertical="center"/>
    </xf>
    <xf numFmtId="0" fontId="2" fillId="0" borderId="0" xfId="0" applyFont="1"/>
    <xf numFmtId="164" fontId="0" fillId="0" borderId="3" xfId="1" applyNumberFormat="1" applyFont="1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165" fontId="0" fillId="0" borderId="6" xfId="1" applyNumberFormat="1" applyFont="1" applyBorder="1" applyAlignment="1">
      <alignment horizontal="center"/>
    </xf>
    <xf numFmtId="165" fontId="0" fillId="0" borderId="3" xfId="1" applyNumberFormat="1" applyFont="1" applyBorder="1" applyAlignment="1">
      <alignment horizontal="center"/>
    </xf>
    <xf numFmtId="165" fontId="0" fillId="0" borderId="2" xfId="1" applyNumberFormat="1" applyFon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0" fontId="0" fillId="0" borderId="0" xfId="0" applyFont="1"/>
    <xf numFmtId="0" fontId="4" fillId="0" borderId="10" xfId="2" applyFont="1" applyBorder="1"/>
    <xf numFmtId="0" fontId="3" fillId="0" borderId="11" xfId="2" applyFont="1" applyBorder="1" applyAlignment="1">
      <alignment horizontal="center"/>
    </xf>
    <xf numFmtId="0" fontId="3" fillId="0" borderId="12" xfId="2" applyFont="1" applyBorder="1" applyAlignment="1">
      <alignment horizontal="center"/>
    </xf>
    <xf numFmtId="0" fontId="3" fillId="0" borderId="13" xfId="2" applyFont="1" applyBorder="1" applyAlignment="1">
      <alignment horizontal="center"/>
    </xf>
    <xf numFmtId="0" fontId="3" fillId="0" borderId="0" xfId="2"/>
    <xf numFmtId="0" fontId="4" fillId="0" borderId="14" xfId="2" applyFont="1" applyBorder="1"/>
    <xf numFmtId="0" fontId="3" fillId="0" borderId="11" xfId="2" applyFont="1" applyBorder="1" applyAlignment="1">
      <alignment horizontal="center" wrapText="1"/>
    </xf>
    <xf numFmtId="0" fontId="3" fillId="0" borderId="12" xfId="2" applyFont="1" applyBorder="1" applyAlignment="1">
      <alignment horizontal="center" wrapText="1"/>
    </xf>
    <xf numFmtId="0" fontId="3" fillId="0" borderId="0" xfId="2" applyFont="1" applyFill="1" applyBorder="1" applyAlignment="1">
      <alignment horizontal="center" wrapText="1"/>
    </xf>
    <xf numFmtId="0" fontId="3" fillId="0" borderId="0" xfId="2" applyFont="1" applyBorder="1" applyAlignment="1">
      <alignment horizontal="center" wrapText="1"/>
    </xf>
    <xf numFmtId="0" fontId="0" fillId="0" borderId="0" xfId="0" quotePrefix="1"/>
    <xf numFmtId="0" fontId="0" fillId="0" borderId="0" xfId="0" applyBorder="1"/>
    <xf numFmtId="0" fontId="3" fillId="0" borderId="0" xfId="2" applyFont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3" fontId="3" fillId="0" borderId="10" xfId="2" applyNumberFormat="1" applyBorder="1" applyAlignment="1"/>
    <xf numFmtId="4" fontId="3" fillId="0" borderId="0" xfId="2" applyNumberFormat="1"/>
    <xf numFmtId="4" fontId="0" fillId="0" borderId="0" xfId="0" applyNumberFormat="1"/>
    <xf numFmtId="3" fontId="3" fillId="2" borderId="15" xfId="2" applyNumberFormat="1" applyFill="1" applyBorder="1" applyAlignment="1">
      <alignment horizontal="center"/>
    </xf>
    <xf numFmtId="3" fontId="3" fillId="2" borderId="16" xfId="2" applyNumberFormat="1" applyFill="1" applyBorder="1" applyAlignment="1">
      <alignment horizontal="center"/>
    </xf>
    <xf numFmtId="3" fontId="3" fillId="2" borderId="17" xfId="2" applyNumberFormat="1" applyFill="1" applyBorder="1" applyAlignment="1">
      <alignment horizontal="center"/>
    </xf>
    <xf numFmtId="3" fontId="3" fillId="2" borderId="18" xfId="2" applyNumberFormat="1" applyFill="1" applyBorder="1" applyAlignment="1">
      <alignment horizontal="center"/>
    </xf>
    <xf numFmtId="3" fontId="3" fillId="2" borderId="19" xfId="2" applyNumberFormat="1" applyFill="1" applyBorder="1" applyAlignment="1">
      <alignment horizontal="center"/>
    </xf>
    <xf numFmtId="3" fontId="3" fillId="0" borderId="0" xfId="2" applyNumberFormat="1"/>
    <xf numFmtId="3" fontId="3" fillId="0" borderId="11" xfId="2" applyNumberFormat="1" applyBorder="1" applyAlignment="1">
      <alignment horizontal="center"/>
    </xf>
    <xf numFmtId="3" fontId="3" fillId="0" borderId="12" xfId="2" applyNumberFormat="1" applyBorder="1" applyAlignment="1">
      <alignment horizontal="center"/>
    </xf>
    <xf numFmtId="3" fontId="3" fillId="3" borderId="20" xfId="2" applyNumberFormat="1" applyFill="1" applyBorder="1" applyAlignment="1"/>
    <xf numFmtId="3" fontId="3" fillId="0" borderId="0" xfId="2" applyNumberFormat="1" applyAlignment="1">
      <alignment horizontal="center"/>
    </xf>
    <xf numFmtId="3" fontId="3" fillId="0" borderId="22" xfId="2" applyNumberFormat="1" applyBorder="1" applyAlignment="1">
      <alignment horizontal="center"/>
    </xf>
    <xf numFmtId="3" fontId="3" fillId="0" borderId="23" xfId="2" applyNumberFormat="1" applyBorder="1" applyAlignment="1">
      <alignment horizontal="center"/>
    </xf>
    <xf numFmtId="3" fontId="3" fillId="0" borderId="23" xfId="2" applyNumberFormat="1" applyFill="1" applyBorder="1" applyAlignment="1"/>
    <xf numFmtId="3" fontId="3" fillId="0" borderId="23" xfId="2" applyNumberFormat="1" applyBorder="1"/>
    <xf numFmtId="3" fontId="3" fillId="0" borderId="23" xfId="2" applyNumberFormat="1" applyBorder="1" applyAlignment="1"/>
    <xf numFmtId="3" fontId="3" fillId="0" borderId="20" xfId="2" applyNumberFormat="1" applyBorder="1"/>
    <xf numFmtId="3" fontId="4" fillId="0" borderId="21" xfId="2" applyNumberFormat="1" applyFont="1" applyBorder="1" applyAlignment="1">
      <alignment horizontal="center"/>
    </xf>
    <xf numFmtId="3" fontId="3" fillId="0" borderId="29" xfId="2" applyNumberFormat="1" applyBorder="1" applyAlignment="1">
      <alignment horizontal="center"/>
    </xf>
    <xf numFmtId="3" fontId="3" fillId="0" borderId="0" xfId="2" applyNumberFormat="1" applyBorder="1" applyAlignment="1">
      <alignment horizontal="center"/>
    </xf>
    <xf numFmtId="3" fontId="0" fillId="0" borderId="0" xfId="0" applyNumberFormat="1"/>
    <xf numFmtId="3" fontId="3" fillId="4" borderId="30" xfId="2" applyNumberFormat="1" applyFill="1" applyBorder="1" applyAlignment="1"/>
    <xf numFmtId="3" fontId="3" fillId="0" borderId="0" xfId="2" quotePrefix="1" applyNumberFormat="1" applyBorder="1" applyAlignment="1">
      <alignment horizontal="center"/>
    </xf>
    <xf numFmtId="3" fontId="3" fillId="0" borderId="28" xfId="2" applyNumberFormat="1" applyBorder="1"/>
    <xf numFmtId="3" fontId="3" fillId="0" borderId="25" xfId="2" applyNumberFormat="1" applyBorder="1" applyAlignment="1">
      <alignment horizontal="center"/>
    </xf>
    <xf numFmtId="3" fontId="3" fillId="0" borderId="26" xfId="2" applyNumberFormat="1" applyBorder="1" applyAlignment="1">
      <alignment horizontal="center"/>
    </xf>
    <xf numFmtId="3" fontId="3" fillId="0" borderId="26" xfId="2" quotePrefix="1" applyNumberFormat="1" applyBorder="1" applyAlignment="1">
      <alignment horizontal="center"/>
    </xf>
    <xf numFmtId="3" fontId="3" fillId="0" borderId="27" xfId="2" applyNumberFormat="1" applyBorder="1" applyAlignment="1"/>
    <xf numFmtId="3" fontId="3" fillId="0" borderId="31" xfId="2" applyNumberFormat="1" applyBorder="1" applyAlignment="1">
      <alignment horizontal="center"/>
    </xf>
    <xf numFmtId="3" fontId="3" fillId="0" borderId="32" xfId="2" applyNumberFormat="1" applyBorder="1" applyAlignment="1">
      <alignment horizontal="center"/>
    </xf>
    <xf numFmtId="3" fontId="4" fillId="0" borderId="31" xfId="2" applyNumberFormat="1" applyFont="1" applyBorder="1" applyAlignment="1">
      <alignment horizontal="center"/>
    </xf>
    <xf numFmtId="3" fontId="4" fillId="0" borderId="32" xfId="2" applyNumberFormat="1" applyFont="1" applyBorder="1" applyAlignment="1">
      <alignment horizontal="center"/>
    </xf>
    <xf numFmtId="3" fontId="4" fillId="0" borderId="14" xfId="2" applyNumberFormat="1" applyFont="1" applyBorder="1" applyAlignment="1">
      <alignment horizontal="center"/>
    </xf>
    <xf numFmtId="3" fontId="3" fillId="0" borderId="24" xfId="2" applyNumberFormat="1" applyBorder="1"/>
    <xf numFmtId="4" fontId="3" fillId="0" borderId="9" xfId="2" applyNumberFormat="1" applyFont="1" applyBorder="1"/>
    <xf numFmtId="4" fontId="4" fillId="0" borderId="33" xfId="2" applyNumberFormat="1" applyFont="1" applyBorder="1"/>
    <xf numFmtId="4" fontId="3" fillId="0" borderId="34" xfId="2" applyNumberFormat="1" applyFont="1" applyBorder="1" applyAlignment="1">
      <alignment horizontal="center"/>
    </xf>
    <xf numFmtId="4" fontId="4" fillId="0" borderId="34" xfId="2" applyNumberFormat="1" applyFont="1" applyBorder="1"/>
    <xf numFmtId="4" fontId="3" fillId="0" borderId="35" xfId="2" applyNumberFormat="1" applyFont="1" applyBorder="1"/>
    <xf numFmtId="3" fontId="3" fillId="5" borderId="20" xfId="2" applyNumberFormat="1" applyFill="1" applyBorder="1" applyAlignment="1"/>
    <xf numFmtId="0" fontId="0" fillId="0" borderId="0" xfId="0" applyAlignment="1">
      <alignment horizontal="left"/>
    </xf>
    <xf numFmtId="0" fontId="0" fillId="0" borderId="12" xfId="0" applyBorder="1"/>
    <xf numFmtId="0" fontId="3" fillId="0" borderId="32" xfId="2" applyFont="1" applyBorder="1" applyAlignment="1">
      <alignment horizontal="center" wrapText="1"/>
    </xf>
    <xf numFmtId="0" fontId="0" fillId="0" borderId="26" xfId="0" applyBorder="1"/>
    <xf numFmtId="0" fontId="0" fillId="0" borderId="32" xfId="0" applyBorder="1"/>
    <xf numFmtId="0" fontId="0" fillId="6" borderId="12" xfId="0" applyFill="1" applyBorder="1"/>
    <xf numFmtId="0" fontId="3" fillId="0" borderId="11" xfId="2" applyFont="1" applyBorder="1" applyAlignment="1">
      <alignment horizontal="center" vertical="center"/>
    </xf>
    <xf numFmtId="0" fontId="3" fillId="0" borderId="12" xfId="2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3" fontId="3" fillId="5" borderId="30" xfId="2" applyNumberFormat="1" applyFill="1" applyBorder="1" applyAlignment="1"/>
    <xf numFmtId="3" fontId="0" fillId="0" borderId="26" xfId="0" applyNumberFormat="1" applyBorder="1"/>
    <xf numFmtId="4" fontId="4" fillId="0" borderId="0" xfId="2" applyNumberFormat="1" applyFont="1"/>
    <xf numFmtId="3" fontId="3" fillId="0" borderId="0" xfId="2" applyNumberFormat="1" applyFill="1" applyBorder="1" applyAlignment="1">
      <alignment horizontal="center"/>
    </xf>
    <xf numFmtId="4" fontId="3" fillId="0" borderId="22" xfId="2" applyNumberFormat="1" applyFont="1" applyFill="1" applyBorder="1" applyAlignment="1">
      <alignment horizontal="center"/>
    </xf>
    <xf numFmtId="3" fontId="3" fillId="0" borderId="23" xfId="2" applyNumberFormat="1" applyFill="1" applyBorder="1" applyAlignment="1">
      <alignment horizontal="center"/>
    </xf>
    <xf numFmtId="0" fontId="0" fillId="0" borderId="23" xfId="0" applyBorder="1"/>
    <xf numFmtId="4" fontId="3" fillId="0" borderId="31" xfId="2" applyNumberFormat="1" applyFont="1" applyFill="1" applyBorder="1" applyAlignment="1">
      <alignment horizontal="center"/>
    </xf>
    <xf numFmtId="3" fontId="3" fillId="0" borderId="32" xfId="2" applyNumberFormat="1" applyFill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0" fillId="0" borderId="32" xfId="0" applyBorder="1" applyAlignment="1">
      <alignment horizontal="center"/>
    </xf>
    <xf numFmtId="3" fontId="3" fillId="0" borderId="0" xfId="2" applyNumberFormat="1" applyBorder="1"/>
    <xf numFmtId="3" fontId="3" fillId="0" borderId="25" xfId="2" applyNumberFormat="1" applyFill="1" applyBorder="1" applyAlignment="1">
      <alignment horizontal="center"/>
    </xf>
    <xf numFmtId="3" fontId="3" fillId="0" borderId="26" xfId="2" applyNumberFormat="1" applyFill="1" applyBorder="1" applyAlignment="1">
      <alignment horizontal="center"/>
    </xf>
    <xf numFmtId="0" fontId="0" fillId="0" borderId="6" xfId="0" applyBorder="1"/>
    <xf numFmtId="0" fontId="0" fillId="0" borderId="36" xfId="0" applyBorder="1"/>
    <xf numFmtId="0" fontId="0" fillId="0" borderId="36" xfId="0" applyFill="1" applyBorder="1"/>
    <xf numFmtId="172" fontId="3" fillId="0" borderId="29" xfId="2" applyNumberFormat="1" applyBorder="1" applyAlignment="1">
      <alignment horizontal="center"/>
    </xf>
    <xf numFmtId="172" fontId="3" fillId="0" borderId="0" xfId="2" applyNumberFormat="1" applyBorder="1" applyAlignment="1">
      <alignment horizontal="center"/>
    </xf>
    <xf numFmtId="0" fontId="0" fillId="0" borderId="37" xfId="0" applyBorder="1"/>
    <xf numFmtId="0" fontId="0" fillId="5" borderId="26" xfId="0" applyFill="1" applyBorder="1"/>
    <xf numFmtId="3" fontId="3" fillId="0" borderId="38" xfId="2" applyNumberFormat="1" applyBorder="1" applyAlignment="1">
      <alignment horizontal="center"/>
    </xf>
    <xf numFmtId="4" fontId="3" fillId="0" borderId="38" xfId="2" applyNumberFormat="1" applyFont="1" applyBorder="1" applyAlignment="1">
      <alignment horizontal="center"/>
    </xf>
    <xf numFmtId="3" fontId="0" fillId="0" borderId="0" xfId="0" applyNumberFormat="1" applyBorder="1"/>
    <xf numFmtId="3" fontId="3" fillId="0" borderId="38" xfId="2" applyNumberFormat="1" applyBorder="1"/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6" xfId="0" applyFont="1" applyBorder="1"/>
    <xf numFmtId="0" fontId="13" fillId="0" borderId="26" xfId="0" applyFont="1" applyBorder="1"/>
    <xf numFmtId="0" fontId="13" fillId="0" borderId="0" xfId="0" applyFont="1" applyBorder="1"/>
    <xf numFmtId="0" fontId="13" fillId="0" borderId="36" xfId="0" applyFont="1" applyBorder="1"/>
    <xf numFmtId="2" fontId="13" fillId="0" borderId="0" xfId="0" applyNumberFormat="1" applyFont="1"/>
    <xf numFmtId="2" fontId="13" fillId="0" borderId="0" xfId="0" applyNumberFormat="1" applyFont="1" applyFill="1" applyBorder="1"/>
    <xf numFmtId="0" fontId="13" fillId="0" borderId="0" xfId="0" applyFont="1" applyFill="1" applyBorder="1"/>
    <xf numFmtId="0" fontId="13" fillId="0" borderId="36" xfId="0" applyFont="1" applyFill="1" applyBorder="1"/>
    <xf numFmtId="2" fontId="13" fillId="0" borderId="0" xfId="0" applyNumberFormat="1" applyFont="1" applyBorder="1"/>
    <xf numFmtId="0" fontId="13" fillId="0" borderId="0" xfId="0" applyNumberFormat="1" applyFont="1" applyFill="1" applyBorder="1"/>
    <xf numFmtId="0" fontId="13" fillId="8" borderId="0" xfId="0" applyFont="1" applyFill="1"/>
    <xf numFmtId="0" fontId="13" fillId="6" borderId="0" xfId="0" applyFont="1" applyFill="1"/>
    <xf numFmtId="170" fontId="13" fillId="6" borderId="0" xfId="0" applyNumberFormat="1" applyFont="1" applyFill="1"/>
    <xf numFmtId="0" fontId="13" fillId="7" borderId="0" xfId="0" applyFont="1" applyFill="1"/>
  </cellXfs>
  <cellStyles count="3">
    <cellStyle name="Currency" xfId="1" builtinId="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266700</xdr:colOff>
      <xdr:row>2</xdr:row>
      <xdr:rowOff>47625</xdr:rowOff>
    </xdr:from>
    <xdr:to>
      <xdr:col>9</xdr:col>
      <xdr:colOff>252620</xdr:colOff>
      <xdr:row>7</xdr:row>
      <xdr:rowOff>28457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8402" r="6221"/>
        <a:stretch/>
      </xdr:blipFill>
      <xdr:spPr>
        <a:xfrm>
          <a:off x="5095875" y="447675"/>
          <a:ext cx="3000376" cy="942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9525</xdr:rowOff>
        </xdr:from>
        <xdr:to>
          <xdr:col>12</xdr:col>
          <xdr:colOff>0</xdr:colOff>
          <xdr:row>9</xdr:row>
          <xdr:rowOff>552450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9525</xdr:rowOff>
        </xdr:from>
        <xdr:to>
          <xdr:col>12</xdr:col>
          <xdr:colOff>0</xdr:colOff>
          <xdr:row>5</xdr:row>
          <xdr:rowOff>552450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9525</xdr:rowOff>
        </xdr:from>
        <xdr:to>
          <xdr:col>14</xdr:col>
          <xdr:colOff>0</xdr:colOff>
          <xdr:row>13</xdr:row>
          <xdr:rowOff>552450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9525</xdr:rowOff>
        </xdr:from>
        <xdr:to>
          <xdr:col>14</xdr:col>
          <xdr:colOff>0</xdr:colOff>
          <xdr:row>13</xdr:row>
          <xdr:rowOff>552450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9525</xdr:rowOff>
        </xdr:from>
        <xdr:to>
          <xdr:col>14</xdr:col>
          <xdr:colOff>0</xdr:colOff>
          <xdr:row>13</xdr:row>
          <xdr:rowOff>552450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9525</xdr:rowOff>
        </xdr:from>
        <xdr:to>
          <xdr:col>20</xdr:col>
          <xdr:colOff>0</xdr:colOff>
          <xdr:row>10</xdr:row>
          <xdr:rowOff>552450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9525</xdr:rowOff>
        </xdr:from>
        <xdr:to>
          <xdr:col>20</xdr:col>
          <xdr:colOff>0</xdr:colOff>
          <xdr:row>10</xdr:row>
          <xdr:rowOff>552450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36"/>
  <sheetViews>
    <sheetView zoomScale="55" zoomScaleNormal="55" workbookViewId="0">
      <selection activeCell="A29" sqref="A29"/>
    </sheetView>
  </sheetViews>
  <sheetFormatPr defaultRowHeight="15" x14ac:dyDescent="0.25"/>
  <cols>
    <col min="1" max="1" width="10.25" bestFit="1" customWidth="1"/>
  </cols>
  <sheetData>
    <row r="1" spans="1:31" x14ac:dyDescent="0.25">
      <c r="A1" s="109"/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</row>
    <row r="2" spans="1:31" x14ac:dyDescent="0.25">
      <c r="A2" s="110" t="s">
        <v>110</v>
      </c>
      <c r="B2" s="110"/>
      <c r="C2" s="110"/>
      <c r="D2" s="110"/>
      <c r="E2" s="111"/>
      <c r="F2" s="109"/>
      <c r="G2" s="110" t="s">
        <v>111</v>
      </c>
      <c r="H2" s="110"/>
      <c r="I2" s="110"/>
      <c r="J2" s="110"/>
      <c r="K2" s="111"/>
      <c r="L2" s="109"/>
      <c r="M2" s="110" t="s">
        <v>112</v>
      </c>
      <c r="N2" s="110"/>
      <c r="O2" s="110"/>
      <c r="P2" s="110"/>
      <c r="Q2" s="111"/>
      <c r="R2" s="109"/>
      <c r="S2" s="110" t="s">
        <v>113</v>
      </c>
      <c r="T2" s="110"/>
      <c r="U2" s="110"/>
      <c r="V2" s="110"/>
      <c r="W2" s="109"/>
      <c r="X2" s="109"/>
      <c r="Y2" s="110" t="s">
        <v>114</v>
      </c>
      <c r="Z2" s="110"/>
      <c r="AA2" s="110"/>
      <c r="AB2" s="110"/>
      <c r="AC2" s="109"/>
      <c r="AD2" s="109"/>
      <c r="AE2" s="109"/>
    </row>
    <row r="3" spans="1:31" x14ac:dyDescent="0.25">
      <c r="A3" s="112" t="s">
        <v>115</v>
      </c>
      <c r="B3" s="113">
        <v>1</v>
      </c>
      <c r="C3" s="113">
        <v>2</v>
      </c>
      <c r="D3" s="113">
        <v>3</v>
      </c>
      <c r="E3" s="114"/>
      <c r="F3" s="109"/>
      <c r="G3" s="112" t="s">
        <v>115</v>
      </c>
      <c r="H3" s="113">
        <v>1</v>
      </c>
      <c r="I3" s="113">
        <v>2</v>
      </c>
      <c r="J3" s="113">
        <v>3</v>
      </c>
      <c r="K3" s="114"/>
      <c r="L3" s="109"/>
      <c r="M3" s="112" t="s">
        <v>115</v>
      </c>
      <c r="N3" s="113">
        <v>1</v>
      </c>
      <c r="O3" s="113">
        <v>2</v>
      </c>
      <c r="P3" s="113">
        <v>3</v>
      </c>
      <c r="Q3" s="114"/>
      <c r="R3" s="109"/>
      <c r="S3" s="112" t="s">
        <v>115</v>
      </c>
      <c r="T3" s="113">
        <v>1</v>
      </c>
      <c r="U3" s="113">
        <v>2</v>
      </c>
      <c r="V3" s="113">
        <v>3</v>
      </c>
      <c r="W3" s="109"/>
      <c r="X3" s="110" t="s">
        <v>116</v>
      </c>
      <c r="Y3" s="110"/>
      <c r="Z3" s="110"/>
      <c r="AA3" s="110"/>
      <c r="AB3" s="110"/>
      <c r="AC3" s="110"/>
      <c r="AD3" s="109"/>
      <c r="AE3" s="109"/>
    </row>
    <row r="4" spans="1:31" x14ac:dyDescent="0.25">
      <c r="A4" s="115">
        <v>1</v>
      </c>
      <c r="B4" s="116">
        <v>1</v>
      </c>
      <c r="C4" s="116">
        <v>0.33</v>
      </c>
      <c r="D4" s="116">
        <v>1</v>
      </c>
      <c r="E4" s="116"/>
      <c r="F4" s="109"/>
      <c r="G4" s="115">
        <v>1</v>
      </c>
      <c r="H4" s="117">
        <v>1</v>
      </c>
      <c r="I4" s="117">
        <v>2</v>
      </c>
      <c r="J4" s="117">
        <v>0.5</v>
      </c>
      <c r="K4" s="117"/>
      <c r="L4" s="109"/>
      <c r="M4" s="115">
        <v>1</v>
      </c>
      <c r="N4" s="117">
        <v>1</v>
      </c>
      <c r="O4" s="117">
        <v>3</v>
      </c>
      <c r="P4" s="117">
        <v>2</v>
      </c>
      <c r="Q4" s="117"/>
      <c r="R4" s="109"/>
      <c r="S4" s="115">
        <v>1</v>
      </c>
      <c r="T4" s="116">
        <v>1</v>
      </c>
      <c r="U4" s="116">
        <v>1</v>
      </c>
      <c r="V4" s="116">
        <v>0.25</v>
      </c>
      <c r="W4" s="109"/>
      <c r="X4" s="109"/>
      <c r="Y4" s="112"/>
      <c r="Z4" s="113">
        <v>1</v>
      </c>
      <c r="AA4" s="113">
        <v>2</v>
      </c>
      <c r="AB4" s="113">
        <v>3</v>
      </c>
      <c r="AC4" s="118">
        <v>4</v>
      </c>
      <c r="AD4" s="109"/>
      <c r="AE4" s="109"/>
    </row>
    <row r="5" spans="1:31" x14ac:dyDescent="0.25">
      <c r="A5" s="115">
        <v>2</v>
      </c>
      <c r="B5" s="116">
        <v>3</v>
      </c>
      <c r="C5" s="116">
        <v>1</v>
      </c>
      <c r="D5" s="116">
        <v>4</v>
      </c>
      <c r="E5" s="116"/>
      <c r="F5" s="109"/>
      <c r="G5" s="115">
        <v>2</v>
      </c>
      <c r="H5" s="117">
        <v>0.5</v>
      </c>
      <c r="I5" s="117">
        <v>1</v>
      </c>
      <c r="J5" s="117">
        <v>0.33</v>
      </c>
      <c r="K5" s="117"/>
      <c r="L5" s="109"/>
      <c r="M5" s="115">
        <v>2</v>
      </c>
      <c r="N5" s="117">
        <v>0.33</v>
      </c>
      <c r="O5" s="117">
        <v>1</v>
      </c>
      <c r="P5" s="117">
        <v>0.33</v>
      </c>
      <c r="Q5" s="117"/>
      <c r="R5" s="109"/>
      <c r="S5" s="115">
        <v>2</v>
      </c>
      <c r="T5" s="116">
        <v>1</v>
      </c>
      <c r="U5" s="116">
        <v>1</v>
      </c>
      <c r="V5" s="116">
        <v>0.25</v>
      </c>
      <c r="W5" s="109"/>
      <c r="X5" s="109"/>
      <c r="Y5" s="115" t="s">
        <v>110</v>
      </c>
      <c r="Z5" s="117">
        <v>1</v>
      </c>
      <c r="AA5" s="116">
        <v>0.33</v>
      </c>
      <c r="AB5" s="116">
        <v>0.25</v>
      </c>
      <c r="AC5" s="117">
        <v>0.5</v>
      </c>
      <c r="AD5" s="109"/>
      <c r="AE5" s="109"/>
    </row>
    <row r="6" spans="1:31" x14ac:dyDescent="0.25">
      <c r="A6" s="115">
        <v>3</v>
      </c>
      <c r="B6" s="116">
        <v>1</v>
      </c>
      <c r="C6" s="116">
        <v>0.25</v>
      </c>
      <c r="D6" s="116">
        <v>1</v>
      </c>
      <c r="E6" s="116"/>
      <c r="F6" s="109"/>
      <c r="G6" s="115">
        <v>3</v>
      </c>
      <c r="H6" s="117">
        <v>2</v>
      </c>
      <c r="I6" s="117">
        <v>3</v>
      </c>
      <c r="J6" s="117">
        <v>1</v>
      </c>
      <c r="K6" s="117"/>
      <c r="L6" s="109"/>
      <c r="M6" s="115">
        <v>3</v>
      </c>
      <c r="N6" s="117">
        <v>0.5</v>
      </c>
      <c r="O6" s="117">
        <v>3</v>
      </c>
      <c r="P6" s="117">
        <v>1</v>
      </c>
      <c r="Q6" s="117"/>
      <c r="R6" s="109"/>
      <c r="S6" s="115">
        <v>3</v>
      </c>
      <c r="T6" s="116">
        <v>4</v>
      </c>
      <c r="U6" s="116">
        <v>4</v>
      </c>
      <c r="V6" s="116">
        <v>1</v>
      </c>
      <c r="W6" s="109"/>
      <c r="X6" s="109"/>
      <c r="Y6" s="115" t="s">
        <v>117</v>
      </c>
      <c r="Z6" s="117">
        <v>3</v>
      </c>
      <c r="AA6" s="116">
        <v>1</v>
      </c>
      <c r="AB6" s="116">
        <v>3</v>
      </c>
      <c r="AC6" s="117">
        <v>4</v>
      </c>
      <c r="AD6" s="109"/>
      <c r="AE6" s="109"/>
    </row>
    <row r="7" spans="1:31" x14ac:dyDescent="0.25">
      <c r="A7" s="109" t="s">
        <v>118</v>
      </c>
      <c r="B7" s="116">
        <f>SUM(B4:B6)</f>
        <v>5</v>
      </c>
      <c r="C7" s="116">
        <f t="shared" ref="C7:D7" si="0">SUM(C4:C6)</f>
        <v>1.58</v>
      </c>
      <c r="D7" s="116">
        <f t="shared" si="0"/>
        <v>6</v>
      </c>
      <c r="E7" s="116"/>
      <c r="F7" s="116"/>
      <c r="G7" s="116" t="s">
        <v>118</v>
      </c>
      <c r="H7" s="116">
        <f t="shared" ref="H7:J7" si="1">SUM(H4:H6)</f>
        <v>3.5</v>
      </c>
      <c r="I7" s="116">
        <f t="shared" si="1"/>
        <v>6</v>
      </c>
      <c r="J7" s="116">
        <f t="shared" si="1"/>
        <v>1.83</v>
      </c>
      <c r="K7" s="116"/>
      <c r="L7" s="116"/>
      <c r="M7" s="116" t="s">
        <v>118</v>
      </c>
      <c r="N7" s="116">
        <f t="shared" ref="N7:P7" si="2">SUM(N4:N6)</f>
        <v>1.83</v>
      </c>
      <c r="O7" s="116">
        <f t="shared" si="2"/>
        <v>7</v>
      </c>
      <c r="P7" s="116">
        <f t="shared" si="2"/>
        <v>3.33</v>
      </c>
      <c r="Q7" s="116"/>
      <c r="R7" s="116"/>
      <c r="S7" s="116" t="s">
        <v>118</v>
      </c>
      <c r="T7" s="116">
        <f t="shared" ref="T7:V7" si="3">SUM(T4:T6)</f>
        <v>6</v>
      </c>
      <c r="U7" s="116">
        <f t="shared" si="3"/>
        <v>6</v>
      </c>
      <c r="V7" s="116">
        <f t="shared" si="3"/>
        <v>1.5</v>
      </c>
      <c r="W7" s="109"/>
      <c r="X7" s="109"/>
      <c r="Y7" s="115" t="s">
        <v>112</v>
      </c>
      <c r="Z7" s="117">
        <v>4</v>
      </c>
      <c r="AA7" s="116">
        <v>0.33</v>
      </c>
      <c r="AB7" s="116">
        <v>1</v>
      </c>
      <c r="AC7" s="117">
        <v>3</v>
      </c>
      <c r="AD7" s="109"/>
      <c r="AE7" s="109"/>
    </row>
    <row r="8" spans="1:31" x14ac:dyDescent="0.25">
      <c r="A8" s="109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19" t="s">
        <v>113</v>
      </c>
      <c r="Z8" s="117">
        <v>2</v>
      </c>
      <c r="AA8" s="116">
        <v>0.25</v>
      </c>
      <c r="AB8" s="116">
        <v>0.33</v>
      </c>
      <c r="AC8" s="117">
        <v>1</v>
      </c>
      <c r="AD8" s="109"/>
      <c r="AE8" s="109"/>
    </row>
    <row r="9" spans="1:31" x14ac:dyDescent="0.25">
      <c r="A9" s="109"/>
      <c r="B9" s="109"/>
      <c r="C9" s="109"/>
      <c r="D9" s="109"/>
      <c r="E9" s="109"/>
      <c r="F9" s="109"/>
      <c r="G9" s="109"/>
      <c r="H9" s="110"/>
      <c r="I9" s="110"/>
      <c r="J9" s="110"/>
      <c r="K9" s="110"/>
      <c r="L9" s="110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19" t="s">
        <v>118</v>
      </c>
      <c r="Z9" s="116">
        <f>SUM(Z5:Z8)</f>
        <v>10</v>
      </c>
      <c r="AA9" s="116">
        <f t="shared" ref="AA9:AC9" si="4">SUM(AA5:AA8)</f>
        <v>1.9100000000000001</v>
      </c>
      <c r="AB9" s="116">
        <f t="shared" si="4"/>
        <v>4.58</v>
      </c>
      <c r="AC9" s="116">
        <f t="shared" si="4"/>
        <v>8.5</v>
      </c>
      <c r="AD9" s="109"/>
      <c r="AE9" s="109"/>
    </row>
    <row r="10" spans="1:31" x14ac:dyDescent="0.25">
      <c r="A10" s="110" t="s">
        <v>119</v>
      </c>
      <c r="B10" s="110"/>
      <c r="C10" s="110"/>
      <c r="D10" s="110"/>
      <c r="E10" s="111"/>
      <c r="F10" s="109"/>
      <c r="G10" s="110"/>
      <c r="H10" s="110"/>
      <c r="I10" s="110"/>
      <c r="J10" s="110"/>
      <c r="K10" s="110"/>
      <c r="L10" s="110"/>
      <c r="M10" s="110"/>
      <c r="N10" s="109"/>
      <c r="O10" s="109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</row>
    <row r="11" spans="1:31" x14ac:dyDescent="0.25">
      <c r="A11" s="111"/>
      <c r="B11" s="111"/>
      <c r="C11" s="111"/>
      <c r="D11" s="111"/>
      <c r="E11" s="111"/>
      <c r="F11" s="109"/>
      <c r="G11" s="111"/>
      <c r="H11" s="111"/>
      <c r="I11" s="111"/>
      <c r="J11" s="111"/>
      <c r="K11" s="111"/>
      <c r="L11" s="111"/>
      <c r="M11" s="111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  <c r="AE11" s="109"/>
    </row>
    <row r="12" spans="1:31" x14ac:dyDescent="0.25">
      <c r="A12" s="111"/>
      <c r="B12" s="110" t="s">
        <v>110</v>
      </c>
      <c r="C12" s="110"/>
      <c r="D12" s="110"/>
      <c r="E12" s="110"/>
      <c r="F12" s="109"/>
      <c r="G12" s="110" t="s">
        <v>120</v>
      </c>
      <c r="H12" s="110"/>
      <c r="I12" s="110"/>
      <c r="J12" s="110"/>
      <c r="K12" s="110"/>
      <c r="L12" s="111"/>
      <c r="M12" s="110" t="s">
        <v>112</v>
      </c>
      <c r="N12" s="110"/>
      <c r="O12" s="110"/>
      <c r="P12" s="110"/>
      <c r="Q12" s="109"/>
      <c r="R12" s="109"/>
      <c r="S12" s="110" t="s">
        <v>113</v>
      </c>
      <c r="T12" s="110"/>
      <c r="U12" s="110"/>
      <c r="V12" s="110"/>
      <c r="W12" s="109"/>
      <c r="X12" s="109"/>
      <c r="Y12" s="109"/>
      <c r="Z12" s="109" t="s">
        <v>110</v>
      </c>
      <c r="AA12" s="109" t="s">
        <v>121</v>
      </c>
      <c r="AB12" s="109" t="s">
        <v>122</v>
      </c>
      <c r="AC12" s="109" t="s">
        <v>123</v>
      </c>
      <c r="AD12" s="109" t="s">
        <v>124</v>
      </c>
      <c r="AE12" s="109"/>
    </row>
    <row r="13" spans="1:31" x14ac:dyDescent="0.25">
      <c r="A13" s="112"/>
      <c r="B13" s="113">
        <v>1</v>
      </c>
      <c r="C13" s="113">
        <v>2</v>
      </c>
      <c r="D13" s="113">
        <v>3</v>
      </c>
      <c r="E13" s="114" t="s">
        <v>125</v>
      </c>
      <c r="F13" s="109"/>
      <c r="G13" s="114"/>
      <c r="H13" s="114">
        <v>1</v>
      </c>
      <c r="I13" s="114">
        <v>2</v>
      </c>
      <c r="J13" s="114">
        <v>3</v>
      </c>
      <c r="K13" s="114" t="s">
        <v>125</v>
      </c>
      <c r="L13" s="114"/>
      <c r="M13" s="118"/>
      <c r="N13" s="118">
        <v>1</v>
      </c>
      <c r="O13" s="118">
        <v>2</v>
      </c>
      <c r="P13" s="118">
        <v>3</v>
      </c>
      <c r="Q13" s="118" t="s">
        <v>125</v>
      </c>
      <c r="R13" s="109"/>
      <c r="S13" s="109"/>
      <c r="T13" s="109">
        <v>1</v>
      </c>
      <c r="U13" s="109">
        <v>2</v>
      </c>
      <c r="V13" s="109">
        <v>3</v>
      </c>
      <c r="W13" s="109" t="s">
        <v>125</v>
      </c>
      <c r="X13" s="109"/>
      <c r="Y13" s="109" t="s">
        <v>110</v>
      </c>
      <c r="Z13" s="109">
        <f>Z5/$Z$8</f>
        <v>0.5</v>
      </c>
      <c r="AA13" s="109">
        <f>AA5/$AA$8</f>
        <v>1.32</v>
      </c>
      <c r="AB13" s="109">
        <f>AB5/$AB$8</f>
        <v>0.75757575757575757</v>
      </c>
      <c r="AC13" s="109">
        <f>AC5/$AC$8</f>
        <v>0.5</v>
      </c>
      <c r="AD13" s="122">
        <f>AVERAGE(Z13:AC13)</f>
        <v>0.76939393939393941</v>
      </c>
      <c r="AE13" s="109"/>
    </row>
    <row r="14" spans="1:31" x14ac:dyDescent="0.25">
      <c r="A14" s="115">
        <v>1</v>
      </c>
      <c r="B14" s="116">
        <f>B4/$B$6</f>
        <v>1</v>
      </c>
      <c r="C14" s="116">
        <f>C4/$C$6</f>
        <v>1.32</v>
      </c>
      <c r="D14" s="116">
        <f>D4/$D$6</f>
        <v>1</v>
      </c>
      <c r="E14" s="116">
        <f>AVERAGE(B14:D14)</f>
        <v>1.1066666666666667</v>
      </c>
      <c r="F14" s="109"/>
      <c r="G14" s="114">
        <v>1</v>
      </c>
      <c r="H14" s="120">
        <f>H4/$H$6</f>
        <v>0.5</v>
      </c>
      <c r="I14" s="117">
        <f>I4/$I$6</f>
        <v>0.66666666666666663</v>
      </c>
      <c r="J14" s="120">
        <f>J4/$J$6</f>
        <v>0.5</v>
      </c>
      <c r="K14" s="120">
        <f>AVERAGE(H14:J14)</f>
        <v>0.55555555555555547</v>
      </c>
      <c r="L14" s="120"/>
      <c r="M14" s="121">
        <v>1</v>
      </c>
      <c r="N14" s="116">
        <f>N4/$N$6</f>
        <v>2</v>
      </c>
      <c r="O14" s="116">
        <f>O4/$O$6</f>
        <v>1</v>
      </c>
      <c r="P14" s="116">
        <f>P4/$P$6</f>
        <v>2</v>
      </c>
      <c r="Q14" s="116">
        <f>AVERAGE(N14:P14)</f>
        <v>1.6666666666666667</v>
      </c>
      <c r="R14" s="109"/>
      <c r="S14" s="109">
        <v>1</v>
      </c>
      <c r="T14" s="116">
        <f>T4/$T$6</f>
        <v>0.25</v>
      </c>
      <c r="U14" s="116">
        <f>U4/$U$6</f>
        <v>0.25</v>
      </c>
      <c r="V14" s="116">
        <f>V4/$V$6</f>
        <v>0.25</v>
      </c>
      <c r="W14" s="116">
        <f>AVERAGE(T14:V14)</f>
        <v>0.25</v>
      </c>
      <c r="X14" s="109"/>
      <c r="Y14" s="109" t="s">
        <v>121</v>
      </c>
      <c r="Z14" s="109">
        <f t="shared" ref="Z14:Z16" si="5">Z6/$Z$8</f>
        <v>1.5</v>
      </c>
      <c r="AA14" s="109">
        <f t="shared" ref="AA14:AA16" si="6">AA6/$AA$8</f>
        <v>4</v>
      </c>
      <c r="AB14" s="109">
        <f t="shared" ref="AB14:AB16" si="7">AB6/$AB$8</f>
        <v>9.0909090909090899</v>
      </c>
      <c r="AC14" s="109">
        <f t="shared" ref="AC14:AC15" si="8">AC6/$AC$8</f>
        <v>4</v>
      </c>
      <c r="AD14" s="122">
        <f t="shared" ref="AD14:AD16" si="9">AVERAGE(Z14:AC14)</f>
        <v>4.6477272727272725</v>
      </c>
      <c r="AE14" s="109"/>
    </row>
    <row r="15" spans="1:31" x14ac:dyDescent="0.25">
      <c r="A15" s="115">
        <v>2</v>
      </c>
      <c r="B15" s="116">
        <f>B5/$B$6</f>
        <v>3</v>
      </c>
      <c r="C15" s="116">
        <f t="shared" ref="C15:C16" si="10">C5/$C$6</f>
        <v>4</v>
      </c>
      <c r="D15" s="116">
        <f>D5/$D$6</f>
        <v>4</v>
      </c>
      <c r="E15" s="116">
        <f t="shared" ref="E15:E16" si="11">AVERAGE(B15:D15)</f>
        <v>3.6666666666666665</v>
      </c>
      <c r="F15" s="109"/>
      <c r="G15" s="114">
        <v>2</v>
      </c>
      <c r="H15" s="120">
        <f t="shared" ref="H15:H16" si="12">H5/$H$6</f>
        <v>0.25</v>
      </c>
      <c r="I15" s="117">
        <f t="shared" ref="I15:I16" si="13">I5/$I$6</f>
        <v>0.33333333333333331</v>
      </c>
      <c r="J15" s="120">
        <f t="shared" ref="J15:J16" si="14">J5/$J$6</f>
        <v>0.33</v>
      </c>
      <c r="K15" s="120">
        <f t="shared" ref="K15:K16" si="15">AVERAGE(H15:J15)</f>
        <v>0.30444444444444446</v>
      </c>
      <c r="L15" s="120"/>
      <c r="M15" s="121">
        <v>2</v>
      </c>
      <c r="N15" s="116">
        <f>N5/$N$6</f>
        <v>0.66</v>
      </c>
      <c r="O15" s="116">
        <f>O5/$O$6</f>
        <v>0.33333333333333331</v>
      </c>
      <c r="P15" s="116">
        <f t="shared" ref="P15:P16" si="16">P5/$P$6</f>
        <v>0.33</v>
      </c>
      <c r="Q15" s="116">
        <f t="shared" ref="Q15:Q16" si="17">AVERAGE(N15:P15)</f>
        <v>0.44111111111111118</v>
      </c>
      <c r="R15" s="109"/>
      <c r="S15" s="109">
        <v>2</v>
      </c>
      <c r="T15" s="116">
        <f t="shared" ref="T15:T16" si="18">T5/$T$6</f>
        <v>0.25</v>
      </c>
      <c r="U15" s="116">
        <f t="shared" ref="U15:U16" si="19">U5/$U$6</f>
        <v>0.25</v>
      </c>
      <c r="V15" s="116">
        <f t="shared" ref="V15:V16" si="20">V5/$V$6</f>
        <v>0.25</v>
      </c>
      <c r="W15" s="116">
        <f t="shared" ref="W15:W16" si="21">AVERAGE(T15:V15)</f>
        <v>0.25</v>
      </c>
      <c r="X15" s="109"/>
      <c r="Y15" s="109" t="s">
        <v>126</v>
      </c>
      <c r="Z15" s="109">
        <f t="shared" si="5"/>
        <v>2</v>
      </c>
      <c r="AA15" s="109">
        <f t="shared" si="6"/>
        <v>1.32</v>
      </c>
      <c r="AB15" s="109">
        <f t="shared" si="7"/>
        <v>3.0303030303030303</v>
      </c>
      <c r="AC15" s="109">
        <f t="shared" si="8"/>
        <v>3</v>
      </c>
      <c r="AD15" s="122">
        <f t="shared" si="9"/>
        <v>2.3375757575757579</v>
      </c>
      <c r="AE15" s="109"/>
    </row>
    <row r="16" spans="1:31" x14ac:dyDescent="0.25">
      <c r="A16" s="115">
        <v>3</v>
      </c>
      <c r="B16" s="116">
        <f>B6/$B$6</f>
        <v>1</v>
      </c>
      <c r="C16" s="116">
        <f t="shared" si="10"/>
        <v>1</v>
      </c>
      <c r="D16" s="116">
        <f>D6/$D$6</f>
        <v>1</v>
      </c>
      <c r="E16" s="116">
        <f t="shared" si="11"/>
        <v>1</v>
      </c>
      <c r="F16" s="109"/>
      <c r="G16" s="114">
        <v>3</v>
      </c>
      <c r="H16" s="120">
        <f t="shared" si="12"/>
        <v>1</v>
      </c>
      <c r="I16" s="117">
        <f t="shared" si="13"/>
        <v>1</v>
      </c>
      <c r="J16" s="120">
        <f t="shared" si="14"/>
        <v>1</v>
      </c>
      <c r="K16" s="120">
        <f t="shared" si="15"/>
        <v>1</v>
      </c>
      <c r="L16" s="120"/>
      <c r="M16" s="121">
        <v>3</v>
      </c>
      <c r="N16" s="116">
        <f>N6/$N$6</f>
        <v>1</v>
      </c>
      <c r="O16" s="116">
        <f>O6/$O$6</f>
        <v>1</v>
      </c>
      <c r="P16" s="116">
        <f t="shared" si="16"/>
        <v>1</v>
      </c>
      <c r="Q16" s="116">
        <f t="shared" si="17"/>
        <v>1</v>
      </c>
      <c r="R16" s="109"/>
      <c r="S16" s="109">
        <v>3</v>
      </c>
      <c r="T16" s="116">
        <f t="shared" si="18"/>
        <v>1</v>
      </c>
      <c r="U16" s="116">
        <f t="shared" si="19"/>
        <v>1</v>
      </c>
      <c r="V16" s="116">
        <f t="shared" si="20"/>
        <v>1</v>
      </c>
      <c r="W16" s="116">
        <f t="shared" si="21"/>
        <v>1</v>
      </c>
      <c r="X16" s="109"/>
      <c r="Y16" s="109" t="s">
        <v>127</v>
      </c>
      <c r="Z16" s="109">
        <f t="shared" si="5"/>
        <v>1</v>
      </c>
      <c r="AA16" s="109">
        <f t="shared" si="6"/>
        <v>1</v>
      </c>
      <c r="AB16" s="109">
        <f t="shared" si="7"/>
        <v>1</v>
      </c>
      <c r="AC16" s="109">
        <f>AC8/$AC$8</f>
        <v>1</v>
      </c>
      <c r="AD16" s="122">
        <f t="shared" si="9"/>
        <v>1</v>
      </c>
      <c r="AE16" s="109"/>
    </row>
    <row r="17" spans="1:31" x14ac:dyDescent="0.25">
      <c r="A17" s="109"/>
      <c r="B17" s="109"/>
      <c r="C17" s="109"/>
      <c r="D17" s="109"/>
      <c r="E17" s="109"/>
      <c r="F17" s="109"/>
      <c r="G17" s="114"/>
      <c r="H17" s="118"/>
      <c r="I17" s="117"/>
      <c r="J17" s="120"/>
      <c r="K17" s="120"/>
      <c r="L17" s="120"/>
      <c r="M17" s="117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</row>
    <row r="18" spans="1:31" x14ac:dyDescent="0.25">
      <c r="A18" s="109"/>
      <c r="B18" s="10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</row>
    <row r="19" spans="1:31" x14ac:dyDescent="0.25">
      <c r="A19" s="109"/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</row>
    <row r="20" spans="1:31" x14ac:dyDescent="0.25">
      <c r="A20" s="109"/>
      <c r="B20" s="109" t="s">
        <v>110</v>
      </c>
      <c r="C20" s="109" t="s">
        <v>121</v>
      </c>
      <c r="D20" s="109" t="s">
        <v>126</v>
      </c>
      <c r="E20" s="109" t="s">
        <v>123</v>
      </c>
      <c r="F20" s="109"/>
      <c r="G20" s="125" t="s">
        <v>128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</row>
    <row r="21" spans="1:31" x14ac:dyDescent="0.25">
      <c r="A21" s="109">
        <v>1</v>
      </c>
      <c r="B21" s="116">
        <f>E14</f>
        <v>1.1066666666666667</v>
      </c>
      <c r="C21" s="116">
        <f>K14</f>
        <v>0.55555555555555547</v>
      </c>
      <c r="D21" s="116">
        <f>Q14</f>
        <v>1.6666666666666667</v>
      </c>
      <c r="E21" s="116">
        <f>W14</f>
        <v>0.25</v>
      </c>
      <c r="F21" s="109"/>
      <c r="G21" s="124">
        <f>SUMPRODUCT(B21:E21,$B$25:$E$25)</f>
        <v>0</v>
      </c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</row>
    <row r="22" spans="1:31" x14ac:dyDescent="0.25">
      <c r="A22" s="109">
        <v>2</v>
      </c>
      <c r="B22" s="116">
        <f>E15</f>
        <v>3.6666666666666665</v>
      </c>
      <c r="C22" s="116">
        <f>K15</f>
        <v>0.30444444444444446</v>
      </c>
      <c r="D22" s="116">
        <f>Q15</f>
        <v>0.44111111111111118</v>
      </c>
      <c r="E22" s="116">
        <f>W15</f>
        <v>0.25</v>
      </c>
      <c r="F22" s="109"/>
      <c r="G22" s="124">
        <f t="shared" ref="G22" si="22">SUMPRODUCT(B22:E22,$B$25:$E$25)</f>
        <v>0</v>
      </c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</row>
    <row r="23" spans="1:31" x14ac:dyDescent="0.25">
      <c r="A23" s="109">
        <v>3</v>
      </c>
      <c r="B23" s="116">
        <f>E16</f>
        <v>1</v>
      </c>
      <c r="C23" s="116">
        <f>K16</f>
        <v>1</v>
      </c>
      <c r="D23" s="116">
        <f>Q16</f>
        <v>1</v>
      </c>
      <c r="E23" s="116">
        <f>W16</f>
        <v>1</v>
      </c>
      <c r="F23" s="109"/>
      <c r="G23" s="124">
        <f>SUMPRODUCT(B23:E23,$B$25:$E$25)</f>
        <v>0</v>
      </c>
      <c r="H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</row>
    <row r="24" spans="1:31" x14ac:dyDescent="0.25">
      <c r="A24" s="109"/>
      <c r="B24" s="109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</row>
    <row r="25" spans="1:31" x14ac:dyDescent="0.25">
      <c r="A25" s="109"/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</row>
    <row r="26" spans="1:31" x14ac:dyDescent="0.25">
      <c r="A26" s="109" t="s">
        <v>129</v>
      </c>
      <c r="B26" s="109">
        <f>B30</f>
        <v>0.76939393939393941</v>
      </c>
      <c r="C26" s="109">
        <f>B31</f>
        <v>4.6477272727272725</v>
      </c>
      <c r="D26" s="109">
        <f>B32</f>
        <v>2.3375757575757579</v>
      </c>
      <c r="E26" s="109">
        <f>B33</f>
        <v>1</v>
      </c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</row>
    <row r="27" spans="1:31" x14ac:dyDescent="0.25">
      <c r="A27" s="109"/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</row>
    <row r="28" spans="1:31" x14ac:dyDescent="0.25">
      <c r="A28" s="109"/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</row>
    <row r="29" spans="1:31" x14ac:dyDescent="0.25">
      <c r="A29" s="109" t="s">
        <v>115</v>
      </c>
      <c r="B29" s="109" t="s">
        <v>130</v>
      </c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</row>
    <row r="30" spans="1:31" x14ac:dyDescent="0.25">
      <c r="A30" s="109" t="s">
        <v>132</v>
      </c>
      <c r="B30" s="109">
        <f>AD13</f>
        <v>0.76939393939393941</v>
      </c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</row>
    <row r="31" spans="1:31" x14ac:dyDescent="0.25">
      <c r="A31" s="109" t="s">
        <v>133</v>
      </c>
      <c r="B31" s="109">
        <f>AD14</f>
        <v>4.6477272727272725</v>
      </c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</row>
    <row r="32" spans="1:31" x14ac:dyDescent="0.25">
      <c r="A32" s="109" t="s">
        <v>134</v>
      </c>
      <c r="B32" s="109">
        <f>AD15</f>
        <v>2.3375757575757579</v>
      </c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</row>
    <row r="33" spans="1:31" x14ac:dyDescent="0.25">
      <c r="A33" s="109"/>
      <c r="B33" s="109">
        <f>AD16</f>
        <v>1</v>
      </c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</row>
    <row r="34" spans="1:31" x14ac:dyDescent="0.25">
      <c r="A34" s="109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</row>
    <row r="35" spans="1:31" x14ac:dyDescent="0.25">
      <c r="A35" s="109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</row>
    <row r="36" spans="1:31" x14ac:dyDescent="0.25">
      <c r="A36" s="123" t="s">
        <v>131</v>
      </c>
      <c r="B36" s="123"/>
      <c r="C36" s="122"/>
      <c r="D36" s="122"/>
      <c r="E36" s="122"/>
      <c r="F36" s="122"/>
      <c r="G36" s="122"/>
      <c r="H36" s="122"/>
      <c r="I36" s="122"/>
    </row>
  </sheetData>
  <mergeCells count="13">
    <mergeCell ref="B12:E12"/>
    <mergeCell ref="G12:K12"/>
    <mergeCell ref="M12:P12"/>
    <mergeCell ref="S12:V12"/>
    <mergeCell ref="A2:D2"/>
    <mergeCell ref="G2:J2"/>
    <mergeCell ref="M2:P2"/>
    <mergeCell ref="S2:V2"/>
    <mergeCell ref="Y2:AB2"/>
    <mergeCell ref="X3:AC3"/>
    <mergeCell ref="H9:L9"/>
    <mergeCell ref="A10:D10"/>
    <mergeCell ref="G10:M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7"/>
  <sheetViews>
    <sheetView topLeftCell="A7" zoomScale="85" zoomScaleNormal="85" workbookViewId="0">
      <selection activeCell="K17" sqref="K17"/>
    </sheetView>
  </sheetViews>
  <sheetFormatPr defaultRowHeight="15" x14ac:dyDescent="0.25"/>
  <cols>
    <col min="1" max="1" width="14.625" bestFit="1" customWidth="1"/>
    <col min="2" max="2" width="13.875" bestFit="1" customWidth="1"/>
    <col min="3" max="3" width="14.875" bestFit="1" customWidth="1"/>
    <col min="4" max="4" width="13.875" bestFit="1" customWidth="1"/>
    <col min="5" max="5" width="12.25" bestFit="1" customWidth="1"/>
    <col min="6" max="7" width="9.125" bestFit="1" customWidth="1"/>
    <col min="8" max="8" width="12.25" bestFit="1" customWidth="1"/>
    <col min="9" max="9" width="9.125" bestFit="1" customWidth="1"/>
    <col min="10" max="10" width="12" bestFit="1" customWidth="1"/>
    <col min="12" max="13" width="9.125" bestFit="1" customWidth="1"/>
  </cols>
  <sheetData>
    <row r="1" spans="1:13" ht="15.75" thickBot="1" x14ac:dyDescent="0.3"/>
    <row r="2" spans="1:13" ht="15.75" thickBot="1" x14ac:dyDescent="0.3">
      <c r="A2" s="1"/>
      <c r="B2" s="4" t="s">
        <v>2</v>
      </c>
      <c r="C2" s="5" t="s">
        <v>3</v>
      </c>
      <c r="D2" s="5" t="s">
        <v>4</v>
      </c>
      <c r="E2" s="6" t="s">
        <v>5</v>
      </c>
      <c r="G2" s="7" t="s">
        <v>6</v>
      </c>
      <c r="H2" s="8">
        <v>600000</v>
      </c>
    </row>
    <row r="3" spans="1:13" x14ac:dyDescent="0.25">
      <c r="A3" s="2" t="s">
        <v>0</v>
      </c>
      <c r="B3" s="13">
        <v>7000000</v>
      </c>
      <c r="C3" s="14">
        <v>10000000</v>
      </c>
      <c r="D3" s="14">
        <v>5000000</v>
      </c>
      <c r="E3" s="11">
        <v>100000</v>
      </c>
    </row>
    <row r="4" spans="1:13" ht="15.75" thickBot="1" x14ac:dyDescent="0.3">
      <c r="A4" s="3" t="s">
        <v>1</v>
      </c>
      <c r="B4" s="15">
        <v>3000000</v>
      </c>
      <c r="C4" s="16">
        <v>6000000</v>
      </c>
      <c r="D4" s="16">
        <v>4000000</v>
      </c>
      <c r="E4" s="12">
        <v>60000</v>
      </c>
    </row>
    <row r="8" spans="1:13" x14ac:dyDescent="0.25">
      <c r="A8" s="10" t="s">
        <v>7</v>
      </c>
      <c r="B8" s="9" t="s">
        <v>8</v>
      </c>
      <c r="C8" s="9" t="s">
        <v>9</v>
      </c>
    </row>
    <row r="9" spans="1:13" x14ac:dyDescent="0.25">
      <c r="A9" t="s">
        <v>10</v>
      </c>
      <c r="B9" s="9">
        <v>1</v>
      </c>
      <c r="C9" s="9">
        <v>5</v>
      </c>
      <c r="D9" t="s">
        <v>38</v>
      </c>
      <c r="G9" s="30" t="s">
        <v>21</v>
      </c>
      <c r="H9" s="28" t="s">
        <v>20</v>
      </c>
      <c r="J9" s="32" t="s">
        <v>26</v>
      </c>
      <c r="K9" s="28" t="s">
        <v>29</v>
      </c>
    </row>
    <row r="10" spans="1:13" x14ac:dyDescent="0.25">
      <c r="B10" s="9">
        <v>2</v>
      </c>
      <c r="C10" s="9">
        <v>1</v>
      </c>
      <c r="D10" t="s">
        <v>39</v>
      </c>
      <c r="G10" s="30" t="s">
        <v>22</v>
      </c>
      <c r="H10" s="28" t="s">
        <v>24</v>
      </c>
      <c r="J10" s="32" t="s">
        <v>27</v>
      </c>
      <c r="K10" s="28" t="s">
        <v>30</v>
      </c>
    </row>
    <row r="11" spans="1:13" x14ac:dyDescent="0.25">
      <c r="B11" s="9">
        <v>3</v>
      </c>
      <c r="C11" s="9">
        <v>1</v>
      </c>
      <c r="G11" s="31" t="s">
        <v>23</v>
      </c>
      <c r="H11" s="28" t="s">
        <v>25</v>
      </c>
      <c r="J11" s="32" t="s">
        <v>28</v>
      </c>
      <c r="K11" s="28" t="s">
        <v>31</v>
      </c>
    </row>
    <row r="14" spans="1:13" x14ac:dyDescent="0.25">
      <c r="F14" s="29"/>
      <c r="G14" s="17"/>
    </row>
    <row r="15" spans="1:13" ht="15.75" thickBot="1" x14ac:dyDescent="0.3"/>
    <row r="16" spans="1:13" ht="15.75" thickBot="1" x14ac:dyDescent="0.3">
      <c r="A16" s="18"/>
      <c r="B16" s="19" t="s">
        <v>43</v>
      </c>
      <c r="C16" s="20" t="s">
        <v>44</v>
      </c>
      <c r="D16" s="20" t="s">
        <v>32</v>
      </c>
      <c r="E16" s="20" t="s">
        <v>33</v>
      </c>
      <c r="F16" s="20" t="s">
        <v>34</v>
      </c>
      <c r="G16" s="20" t="s">
        <v>35</v>
      </c>
      <c r="H16" s="20" t="s">
        <v>36</v>
      </c>
      <c r="I16" s="21" t="s">
        <v>37</v>
      </c>
      <c r="J16" s="22"/>
      <c r="K16" s="22"/>
      <c r="L16" s="22"/>
      <c r="M16" s="22"/>
    </row>
    <row r="17" spans="1:17" ht="39.75" thickBot="1" x14ac:dyDescent="0.3">
      <c r="A17" s="23"/>
      <c r="B17" s="24" t="s">
        <v>0</v>
      </c>
      <c r="C17" s="25" t="s">
        <v>1</v>
      </c>
      <c r="D17" s="26" t="s">
        <v>47</v>
      </c>
      <c r="E17" s="26" t="s">
        <v>46</v>
      </c>
      <c r="F17" s="27" t="s">
        <v>49</v>
      </c>
      <c r="G17" s="27" t="s">
        <v>48</v>
      </c>
      <c r="H17" s="27" t="s">
        <v>50</v>
      </c>
      <c r="I17" s="27" t="s">
        <v>51</v>
      </c>
      <c r="J17" s="22"/>
      <c r="K17" s="22"/>
      <c r="L17" s="22"/>
      <c r="M17" s="22"/>
    </row>
    <row r="18" spans="1:17" ht="15.75" thickBot="1" x14ac:dyDescent="0.3">
      <c r="A18" s="69" t="s">
        <v>11</v>
      </c>
      <c r="B18" s="36">
        <v>0</v>
      </c>
      <c r="C18" s="37">
        <v>10</v>
      </c>
      <c r="D18" s="38">
        <v>0</v>
      </c>
      <c r="E18" s="37">
        <v>0</v>
      </c>
      <c r="F18" s="39">
        <v>0</v>
      </c>
      <c r="G18" s="40">
        <v>20</v>
      </c>
      <c r="H18" s="37">
        <v>0</v>
      </c>
      <c r="I18" s="37">
        <v>20</v>
      </c>
      <c r="J18" s="41"/>
      <c r="K18" s="41"/>
      <c r="L18" s="41"/>
      <c r="M18" s="41"/>
    </row>
    <row r="19" spans="1:17" ht="15.75" thickBot="1" x14ac:dyDescent="0.3">
      <c r="A19" s="69" t="s">
        <v>45</v>
      </c>
      <c r="B19" s="42"/>
      <c r="C19" s="43"/>
      <c r="D19" s="43">
        <v>5</v>
      </c>
      <c r="E19" s="43"/>
      <c r="F19" s="43">
        <v>1</v>
      </c>
      <c r="G19" s="43"/>
      <c r="H19" s="43">
        <v>1</v>
      </c>
      <c r="I19" s="43"/>
      <c r="J19" s="44">
        <f>SUMPRODUCT(B19:I19,$B$18:$I$18)</f>
        <v>0</v>
      </c>
      <c r="K19" s="45"/>
      <c r="L19" s="45"/>
      <c r="M19" s="41"/>
    </row>
    <row r="20" spans="1:17" x14ac:dyDescent="0.25">
      <c r="A20" s="70" t="s">
        <v>12</v>
      </c>
      <c r="B20" s="46"/>
      <c r="C20" s="47"/>
      <c r="D20" s="48"/>
      <c r="E20" s="47"/>
      <c r="F20" s="49"/>
      <c r="G20" s="47"/>
      <c r="H20" s="49"/>
      <c r="I20" s="47"/>
      <c r="J20" s="50"/>
      <c r="K20" s="49"/>
      <c r="L20" s="51"/>
      <c r="M20" s="52" t="s">
        <v>13</v>
      </c>
    </row>
    <row r="21" spans="1:17" x14ac:dyDescent="0.25">
      <c r="A21" s="71" t="s">
        <v>40</v>
      </c>
      <c r="B21" s="53">
        <v>7</v>
      </c>
      <c r="C21" s="54">
        <v>3</v>
      </c>
      <c r="D21" s="54">
        <v>1</v>
      </c>
      <c r="E21" s="54">
        <v>-1</v>
      </c>
      <c r="F21" s="54"/>
      <c r="G21" s="55"/>
      <c r="H21" s="55"/>
      <c r="I21" s="54"/>
      <c r="J21" s="56">
        <f>SUMPRODUCT(B21:I21,$B$18:$I$18)</f>
        <v>30</v>
      </c>
      <c r="K21" s="57" t="s">
        <v>14</v>
      </c>
      <c r="L21" s="33">
        <v>30</v>
      </c>
      <c r="M21" s="58">
        <f>SUMPRODUCT(B21:C21,$B$18:$C$18)</f>
        <v>30</v>
      </c>
    </row>
    <row r="22" spans="1:17" x14ac:dyDescent="0.25">
      <c r="A22" s="71" t="s">
        <v>41</v>
      </c>
      <c r="B22" s="53">
        <v>10</v>
      </c>
      <c r="C22" s="54">
        <v>5</v>
      </c>
      <c r="D22" s="54"/>
      <c r="E22" s="54"/>
      <c r="F22" s="54">
        <v>1</v>
      </c>
      <c r="G22" s="54">
        <v>-1</v>
      </c>
      <c r="H22" s="54"/>
      <c r="I22" s="55"/>
      <c r="J22" s="56">
        <f>SUMPRODUCT(B22:I22,$B$18:$I$18)</f>
        <v>30</v>
      </c>
      <c r="K22" s="57" t="s">
        <v>14</v>
      </c>
      <c r="L22" s="33">
        <v>30</v>
      </c>
      <c r="M22" s="58">
        <f>SUMPRODUCT(B22:C22,$B$18:$C$18)</f>
        <v>50</v>
      </c>
    </row>
    <row r="23" spans="1:17" x14ac:dyDescent="0.25">
      <c r="A23" s="71" t="s">
        <v>42</v>
      </c>
      <c r="B23" s="59">
        <v>5</v>
      </c>
      <c r="C23" s="60">
        <v>4</v>
      </c>
      <c r="D23" s="60"/>
      <c r="E23" s="60"/>
      <c r="F23" s="60"/>
      <c r="G23" s="60"/>
      <c r="H23" s="60">
        <v>1</v>
      </c>
      <c r="I23" s="60">
        <v>-1</v>
      </c>
      <c r="J23" s="56">
        <f>SUMPRODUCT(B23:I23,$B$18:$I$18)</f>
        <v>20</v>
      </c>
      <c r="K23" s="61" t="s">
        <v>14</v>
      </c>
      <c r="L23" s="62">
        <v>20</v>
      </c>
      <c r="M23" s="68">
        <f>SUMPRODUCT(B23:C23,$B$18:$C$18)</f>
        <v>40</v>
      </c>
    </row>
    <row r="24" spans="1:17" x14ac:dyDescent="0.25">
      <c r="A24" s="72" t="s">
        <v>6</v>
      </c>
      <c r="B24" s="53"/>
      <c r="C24" s="54"/>
      <c r="D24" s="54"/>
      <c r="E24" s="54"/>
      <c r="F24" s="54"/>
      <c r="G24" s="54"/>
      <c r="H24" s="54"/>
      <c r="I24" s="54"/>
      <c r="J24" s="56"/>
      <c r="K24" s="54"/>
      <c r="L24" s="33"/>
      <c r="M24" s="41"/>
    </row>
    <row r="25" spans="1:17" ht="15.75" thickBot="1" x14ac:dyDescent="0.3">
      <c r="A25" s="73" t="s">
        <v>19</v>
      </c>
      <c r="B25" s="63">
        <v>100000</v>
      </c>
      <c r="C25" s="64">
        <v>60000</v>
      </c>
      <c r="D25" s="64"/>
      <c r="E25" s="64"/>
      <c r="F25" s="64"/>
      <c r="G25" s="64"/>
      <c r="H25" s="64"/>
      <c r="I25" s="64"/>
      <c r="J25" s="56">
        <f>SUMPRODUCT(B25:I25,$B$18:$I$18)</f>
        <v>600000</v>
      </c>
      <c r="K25" s="54" t="s">
        <v>15</v>
      </c>
      <c r="L25" s="33">
        <v>600000</v>
      </c>
      <c r="M25" s="41"/>
    </row>
    <row r="26" spans="1:17" ht="15.75" thickBot="1" x14ac:dyDescent="0.3">
      <c r="A26" s="34"/>
      <c r="B26" s="41"/>
      <c r="C26" s="41"/>
      <c r="D26" s="41"/>
      <c r="E26" s="41"/>
      <c r="F26" s="41"/>
      <c r="G26" s="41"/>
      <c r="H26" s="54"/>
      <c r="I26" s="54"/>
      <c r="J26" s="65" t="s">
        <v>16</v>
      </c>
      <c r="K26" s="66" t="s">
        <v>17</v>
      </c>
      <c r="L26" s="67" t="s">
        <v>18</v>
      </c>
      <c r="M26" s="55"/>
      <c r="Q26" s="22"/>
    </row>
    <row r="27" spans="1:17" x14ac:dyDescent="0.2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M19"/>
  <sheetViews>
    <sheetView workbookViewId="0">
      <selection activeCell="A4" sqref="A4"/>
    </sheetView>
  </sheetViews>
  <sheetFormatPr defaultRowHeight="15" x14ac:dyDescent="0.25"/>
  <cols>
    <col min="1" max="1" width="10.875" bestFit="1" customWidth="1"/>
    <col min="10" max="10" width="10" customWidth="1"/>
  </cols>
  <sheetData>
    <row r="3" spans="1:13" x14ac:dyDescent="0.25">
      <c r="A3" s="10" t="s">
        <v>91</v>
      </c>
      <c r="B3" s="9" t="s">
        <v>8</v>
      </c>
      <c r="C3" s="9" t="s">
        <v>9</v>
      </c>
    </row>
    <row r="4" spans="1:13" x14ac:dyDescent="0.25">
      <c r="B4" s="9">
        <v>1</v>
      </c>
      <c r="C4" s="9" t="s">
        <v>52</v>
      </c>
      <c r="E4" t="s">
        <v>38</v>
      </c>
      <c r="H4" s="30" t="s">
        <v>21</v>
      </c>
      <c r="I4" s="28" t="s">
        <v>20</v>
      </c>
      <c r="K4" s="32" t="s">
        <v>26</v>
      </c>
      <c r="L4" s="28" t="s">
        <v>29</v>
      </c>
    </row>
    <row r="5" spans="1:13" x14ac:dyDescent="0.25">
      <c r="B5" s="9">
        <v>2</v>
      </c>
      <c r="C5" s="9" t="s">
        <v>53</v>
      </c>
      <c r="E5" t="s">
        <v>39</v>
      </c>
      <c r="H5" s="30" t="s">
        <v>22</v>
      </c>
      <c r="I5" s="28" t="s">
        <v>24</v>
      </c>
      <c r="K5" s="32" t="s">
        <v>27</v>
      </c>
      <c r="L5" s="28" t="s">
        <v>30</v>
      </c>
    </row>
    <row r="6" spans="1:13" x14ac:dyDescent="0.25">
      <c r="B6" s="9">
        <v>3</v>
      </c>
      <c r="C6" s="9" t="s">
        <v>53</v>
      </c>
      <c r="H6" s="31" t="s">
        <v>23</v>
      </c>
      <c r="I6" s="28" t="s">
        <v>25</v>
      </c>
      <c r="K6" s="32" t="s">
        <v>28</v>
      </c>
      <c r="L6" s="28" t="s">
        <v>31</v>
      </c>
    </row>
    <row r="8" spans="1:13" ht="15.75" thickBot="1" x14ac:dyDescent="0.3"/>
    <row r="9" spans="1:13" ht="15.75" thickBot="1" x14ac:dyDescent="0.3">
      <c r="A9" s="18"/>
      <c r="B9" s="19" t="s">
        <v>43</v>
      </c>
      <c r="C9" s="20" t="s">
        <v>44</v>
      </c>
      <c r="D9" s="20" t="s">
        <v>32</v>
      </c>
      <c r="E9" s="20" t="s">
        <v>33</v>
      </c>
      <c r="F9" s="20" t="s">
        <v>34</v>
      </c>
      <c r="G9" s="20" t="s">
        <v>35</v>
      </c>
      <c r="H9" s="20" t="s">
        <v>36</v>
      </c>
      <c r="I9" s="21" t="s">
        <v>37</v>
      </c>
      <c r="J9" s="22"/>
      <c r="K9" s="22"/>
      <c r="L9" s="22"/>
      <c r="M9" s="22"/>
    </row>
    <row r="10" spans="1:13" ht="39.75" thickBot="1" x14ac:dyDescent="0.3">
      <c r="A10" s="23"/>
      <c r="B10" s="24" t="s">
        <v>0</v>
      </c>
      <c r="C10" s="25" t="s">
        <v>1</v>
      </c>
      <c r="D10" s="26" t="s">
        <v>47</v>
      </c>
      <c r="E10" s="26" t="s">
        <v>46</v>
      </c>
      <c r="F10" s="27" t="s">
        <v>49</v>
      </c>
      <c r="G10" s="27" t="s">
        <v>48</v>
      </c>
      <c r="H10" s="27" t="s">
        <v>50</v>
      </c>
      <c r="I10" s="27" t="s">
        <v>51</v>
      </c>
      <c r="J10" s="22"/>
      <c r="K10" s="22"/>
      <c r="L10" s="22"/>
      <c r="M10" s="22"/>
    </row>
    <row r="11" spans="1:13" ht="15.75" thickBot="1" x14ac:dyDescent="0.3">
      <c r="A11" s="69" t="s">
        <v>11</v>
      </c>
      <c r="B11" s="36">
        <v>0</v>
      </c>
      <c r="C11" s="37">
        <v>10</v>
      </c>
      <c r="D11" s="38">
        <v>0</v>
      </c>
      <c r="E11" s="37">
        <v>0</v>
      </c>
      <c r="F11" s="39">
        <v>0</v>
      </c>
      <c r="G11" s="40">
        <v>20</v>
      </c>
      <c r="H11" s="37">
        <v>0</v>
      </c>
      <c r="I11" s="37">
        <v>20</v>
      </c>
      <c r="J11" s="41"/>
      <c r="K11" s="41"/>
      <c r="L11" s="41"/>
      <c r="M11" s="41"/>
    </row>
    <row r="12" spans="1:13" ht="15.75" thickBot="1" x14ac:dyDescent="0.3">
      <c r="A12" s="69" t="s">
        <v>45</v>
      </c>
      <c r="B12" s="42"/>
      <c r="C12" s="43"/>
      <c r="D12" s="43">
        <v>1</v>
      </c>
      <c r="E12" s="43"/>
      <c r="F12" s="43">
        <v>0</v>
      </c>
      <c r="G12" s="43"/>
      <c r="H12" s="43">
        <v>0</v>
      </c>
      <c r="I12" s="43"/>
      <c r="J12" s="44">
        <f>SUMPRODUCT(B12:I12,$B$11:$I$11)</f>
        <v>0</v>
      </c>
      <c r="K12" s="45"/>
      <c r="L12" s="45"/>
      <c r="M12" s="41"/>
    </row>
    <row r="13" spans="1:13" ht="15.75" thickBot="1" x14ac:dyDescent="0.3">
      <c r="A13" s="70" t="s">
        <v>12</v>
      </c>
      <c r="B13" s="46"/>
      <c r="C13" s="47"/>
      <c r="D13" s="48"/>
      <c r="E13" s="47"/>
      <c r="F13" s="49"/>
      <c r="G13" s="47"/>
      <c r="H13" s="49"/>
      <c r="I13" s="47"/>
      <c r="J13" s="74"/>
      <c r="K13" s="49"/>
      <c r="L13" s="51"/>
      <c r="M13" s="52" t="s">
        <v>13</v>
      </c>
    </row>
    <row r="14" spans="1:13" ht="15.75" thickBot="1" x14ac:dyDescent="0.3">
      <c r="A14" s="71" t="s">
        <v>40</v>
      </c>
      <c r="B14" s="53">
        <v>7</v>
      </c>
      <c r="C14" s="54">
        <v>3</v>
      </c>
      <c r="D14" s="54">
        <v>1</v>
      </c>
      <c r="E14" s="54">
        <v>-1</v>
      </c>
      <c r="F14" s="54"/>
      <c r="G14" s="55"/>
      <c r="H14" s="55"/>
      <c r="I14" s="54"/>
      <c r="J14" s="44">
        <f t="shared" ref="J13:J18" si="0">SUMPRODUCT(B14:I14,$B$11:$I$11)</f>
        <v>30</v>
      </c>
      <c r="K14" s="57" t="s">
        <v>14</v>
      </c>
      <c r="L14" s="33">
        <v>30</v>
      </c>
      <c r="M14" s="58">
        <f>SUMPRODUCT(B14:C14,$B$18:$C$18)</f>
        <v>880000</v>
      </c>
    </row>
    <row r="15" spans="1:13" ht="15.75" thickBot="1" x14ac:dyDescent="0.3">
      <c r="A15" s="71" t="s">
        <v>41</v>
      </c>
      <c r="B15" s="53">
        <v>10</v>
      </c>
      <c r="C15" s="54">
        <v>5</v>
      </c>
      <c r="D15" s="54"/>
      <c r="E15" s="54"/>
      <c r="F15" s="54">
        <v>1</v>
      </c>
      <c r="G15" s="54">
        <v>-1</v>
      </c>
      <c r="H15" s="54"/>
      <c r="I15" s="55"/>
      <c r="J15" s="44">
        <f t="shared" si="0"/>
        <v>30</v>
      </c>
      <c r="K15" s="57" t="s">
        <v>14</v>
      </c>
      <c r="L15" s="33">
        <v>30</v>
      </c>
      <c r="M15" s="58">
        <f>SUMPRODUCT(B15:C15,$B$18:$C$18)</f>
        <v>1300000</v>
      </c>
    </row>
    <row r="16" spans="1:13" ht="15.75" thickBot="1" x14ac:dyDescent="0.3">
      <c r="A16" s="71" t="s">
        <v>42</v>
      </c>
      <c r="B16" s="59">
        <v>5</v>
      </c>
      <c r="C16" s="60">
        <v>4</v>
      </c>
      <c r="D16" s="60"/>
      <c r="E16" s="60"/>
      <c r="F16" s="60"/>
      <c r="G16" s="60"/>
      <c r="H16" s="60">
        <v>1</v>
      </c>
      <c r="I16" s="60">
        <v>-1</v>
      </c>
      <c r="J16" s="44">
        <f t="shared" si="0"/>
        <v>20</v>
      </c>
      <c r="K16" s="61" t="s">
        <v>14</v>
      </c>
      <c r="L16" s="62">
        <v>20</v>
      </c>
      <c r="M16" s="68">
        <f>SUMPRODUCT(B16:C16,$B$18:$C$18)</f>
        <v>740000</v>
      </c>
    </row>
    <row r="17" spans="1:13" ht="15.75" thickBot="1" x14ac:dyDescent="0.3">
      <c r="A17" s="72" t="s">
        <v>6</v>
      </c>
      <c r="B17" s="53"/>
      <c r="C17" s="54"/>
      <c r="D17" s="54"/>
      <c r="E17" s="54"/>
      <c r="F17" s="54"/>
      <c r="G17" s="54"/>
      <c r="H17" s="54"/>
      <c r="I17" s="54"/>
      <c r="J17" s="74"/>
      <c r="K17" s="54"/>
      <c r="L17" s="33"/>
      <c r="M17" s="41"/>
    </row>
    <row r="18" spans="1:13" ht="15.75" thickBot="1" x14ac:dyDescent="0.3">
      <c r="A18" s="73" t="s">
        <v>19</v>
      </c>
      <c r="B18" s="63">
        <v>100000</v>
      </c>
      <c r="C18" s="64">
        <v>60000</v>
      </c>
      <c r="D18" s="64"/>
      <c r="E18" s="64"/>
      <c r="F18" s="64"/>
      <c r="G18" s="64"/>
      <c r="H18" s="64"/>
      <c r="I18" s="64"/>
      <c r="J18" s="44">
        <f t="shared" si="0"/>
        <v>600000</v>
      </c>
      <c r="K18" s="54" t="s">
        <v>15</v>
      </c>
      <c r="L18" s="33">
        <v>600000</v>
      </c>
      <c r="M18" s="41"/>
    </row>
    <row r="19" spans="1:13" ht="15.75" thickBot="1" x14ac:dyDescent="0.3">
      <c r="A19" s="34"/>
      <c r="B19" s="41"/>
      <c r="C19" s="41"/>
      <c r="D19" s="41"/>
      <c r="E19" s="41"/>
      <c r="F19" s="41"/>
      <c r="G19" s="41"/>
      <c r="H19" s="54"/>
      <c r="I19" s="54"/>
      <c r="J19" s="65" t="s">
        <v>16</v>
      </c>
      <c r="K19" s="66" t="s">
        <v>17</v>
      </c>
      <c r="L19" s="67" t="s">
        <v>18</v>
      </c>
      <c r="M19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olver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12</xdr:col>
                    <xdr:colOff>0</xdr:colOff>
                    <xdr:row>9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5"/>
  <sheetViews>
    <sheetView workbookViewId="0">
      <selection activeCell="M10" sqref="M10"/>
    </sheetView>
  </sheetViews>
  <sheetFormatPr defaultRowHeight="15" x14ac:dyDescent="0.25"/>
  <cols>
    <col min="1" max="1" width="10.5" customWidth="1"/>
  </cols>
  <sheetData>
    <row r="1" spans="1:13" x14ac:dyDescent="0.25">
      <c r="A1" t="s">
        <v>54</v>
      </c>
    </row>
    <row r="4" spans="1:13" ht="15.75" thickBot="1" x14ac:dyDescent="0.3"/>
    <row r="5" spans="1:13" ht="15.75" thickBot="1" x14ac:dyDescent="0.3">
      <c r="A5" s="18"/>
      <c r="B5" s="19" t="s">
        <v>43</v>
      </c>
      <c r="C5" s="20" t="s">
        <v>44</v>
      </c>
      <c r="D5" s="20" t="s">
        <v>32</v>
      </c>
      <c r="E5" s="20" t="s">
        <v>33</v>
      </c>
      <c r="F5" s="20" t="s">
        <v>34</v>
      </c>
      <c r="G5" s="20" t="s">
        <v>35</v>
      </c>
      <c r="H5" s="20" t="s">
        <v>36</v>
      </c>
      <c r="I5" s="21" t="s">
        <v>37</v>
      </c>
      <c r="J5" s="22"/>
      <c r="K5" s="22"/>
      <c r="L5" s="22"/>
      <c r="M5" s="22"/>
    </row>
    <row r="6" spans="1:13" ht="39.75" thickBot="1" x14ac:dyDescent="0.3">
      <c r="A6" s="23"/>
      <c r="B6" s="24" t="s">
        <v>0</v>
      </c>
      <c r="C6" s="25" t="s">
        <v>1</v>
      </c>
      <c r="D6" s="26" t="s">
        <v>47</v>
      </c>
      <c r="E6" s="26" t="s">
        <v>46</v>
      </c>
      <c r="F6" s="27" t="s">
        <v>49</v>
      </c>
      <c r="G6" s="27" t="s">
        <v>48</v>
      </c>
      <c r="H6" s="27" t="s">
        <v>50</v>
      </c>
      <c r="I6" s="27" t="s">
        <v>51</v>
      </c>
      <c r="J6" s="22"/>
      <c r="K6" s="22"/>
      <c r="L6" s="22"/>
      <c r="M6" s="22"/>
    </row>
    <row r="7" spans="1:13" ht="15.75" thickBot="1" x14ac:dyDescent="0.3">
      <c r="A7" s="69" t="s">
        <v>11</v>
      </c>
      <c r="B7" s="36">
        <v>6</v>
      </c>
      <c r="C7" s="37">
        <v>0</v>
      </c>
      <c r="D7" s="38">
        <v>0</v>
      </c>
      <c r="E7" s="37">
        <v>0</v>
      </c>
      <c r="F7" s="39">
        <v>0</v>
      </c>
      <c r="G7" s="40">
        <v>0</v>
      </c>
      <c r="H7" s="37">
        <v>0</v>
      </c>
      <c r="I7" s="37">
        <v>0</v>
      </c>
      <c r="J7" s="41"/>
      <c r="K7" s="41"/>
      <c r="L7" s="41"/>
      <c r="M7" s="41"/>
    </row>
    <row r="8" spans="1:13" ht="15.75" thickBot="1" x14ac:dyDescent="0.3">
      <c r="A8" s="69" t="s">
        <v>45</v>
      </c>
      <c r="B8" s="42"/>
      <c r="C8" s="43"/>
      <c r="D8" s="43">
        <v>5</v>
      </c>
      <c r="E8" s="43"/>
      <c r="F8" s="43">
        <v>1</v>
      </c>
      <c r="G8" s="43"/>
      <c r="H8" s="43">
        <v>1</v>
      </c>
      <c r="I8" s="43"/>
      <c r="J8" s="44">
        <f>SUMPRODUCT(B8:I8,$B$7:$I$7)</f>
        <v>0</v>
      </c>
      <c r="K8" s="45"/>
      <c r="L8" s="45"/>
      <c r="M8" s="41"/>
    </row>
    <row r="9" spans="1:13" x14ac:dyDescent="0.25">
      <c r="A9" s="70" t="s">
        <v>12</v>
      </c>
      <c r="B9" s="46"/>
      <c r="C9" s="47"/>
      <c r="D9" s="48"/>
      <c r="E9" s="47"/>
      <c r="F9" s="49"/>
      <c r="G9" s="47"/>
      <c r="H9" s="49"/>
      <c r="I9" s="47"/>
      <c r="J9" s="50"/>
      <c r="K9" s="49"/>
      <c r="L9" s="51"/>
      <c r="M9" s="52" t="s">
        <v>13</v>
      </c>
    </row>
    <row r="10" spans="1:13" x14ac:dyDescent="0.25">
      <c r="A10" s="71" t="s">
        <v>40</v>
      </c>
      <c r="B10" s="53">
        <v>7</v>
      </c>
      <c r="C10" s="54">
        <v>3</v>
      </c>
      <c r="D10" s="54"/>
      <c r="E10" s="54">
        <v>-1</v>
      </c>
      <c r="F10" s="54"/>
      <c r="G10" s="55"/>
      <c r="H10" s="55"/>
      <c r="I10" s="54"/>
      <c r="J10" s="56">
        <f>SUMPRODUCT(B10:I10,$B$7:$I$7)</f>
        <v>42</v>
      </c>
      <c r="K10" s="57" t="s">
        <v>14</v>
      </c>
      <c r="L10" s="33">
        <v>100</v>
      </c>
      <c r="M10" s="58">
        <f>SUMPRODUCT(B10:C10,$B$7:$C$7)</f>
        <v>42</v>
      </c>
    </row>
    <row r="11" spans="1:13" x14ac:dyDescent="0.25">
      <c r="A11" s="71" t="s">
        <v>41</v>
      </c>
      <c r="B11" s="53">
        <v>10</v>
      </c>
      <c r="C11" s="54">
        <v>5</v>
      </c>
      <c r="D11" s="54"/>
      <c r="E11" s="54"/>
      <c r="F11" s="54"/>
      <c r="G11" s="54">
        <v>-1</v>
      </c>
      <c r="H11" s="54"/>
      <c r="I11" s="55"/>
      <c r="J11" s="56">
        <f t="shared" ref="J11:J12" si="0">SUMPRODUCT(B11:I11,$B$7:$I$7)</f>
        <v>60</v>
      </c>
      <c r="K11" s="57" t="s">
        <v>14</v>
      </c>
      <c r="L11" s="33">
        <v>100</v>
      </c>
      <c r="M11" s="58">
        <f t="shared" ref="M11:M12" si="1">SUMPRODUCT(B11:C11,$B$7:$C$7)</f>
        <v>60</v>
      </c>
    </row>
    <row r="12" spans="1:13" x14ac:dyDescent="0.25">
      <c r="A12" s="71" t="s">
        <v>42</v>
      </c>
      <c r="B12" s="59">
        <v>5</v>
      </c>
      <c r="C12" s="60">
        <v>4</v>
      </c>
      <c r="D12" s="60"/>
      <c r="E12" s="60"/>
      <c r="F12" s="60"/>
      <c r="G12" s="60"/>
      <c r="H12" s="60"/>
      <c r="I12" s="60">
        <v>-1</v>
      </c>
      <c r="J12" s="56">
        <f t="shared" si="0"/>
        <v>30</v>
      </c>
      <c r="K12" s="61" t="s">
        <v>14</v>
      </c>
      <c r="L12" s="62">
        <v>100</v>
      </c>
      <c r="M12" s="58">
        <f t="shared" si="1"/>
        <v>30</v>
      </c>
    </row>
    <row r="13" spans="1:13" x14ac:dyDescent="0.25">
      <c r="A13" s="72" t="s">
        <v>6</v>
      </c>
      <c r="B13" s="53"/>
      <c r="C13" s="54"/>
      <c r="D13" s="54"/>
      <c r="E13" s="54"/>
      <c r="F13" s="54"/>
      <c r="G13" s="54"/>
      <c r="H13" s="54"/>
      <c r="I13" s="54"/>
      <c r="J13" s="84"/>
      <c r="K13" s="54"/>
      <c r="L13" s="33"/>
      <c r="M13" s="41"/>
    </row>
    <row r="14" spans="1:13" ht="15.75" thickBot="1" x14ac:dyDescent="0.3">
      <c r="A14" s="73" t="s">
        <v>19</v>
      </c>
      <c r="B14" s="63">
        <v>100000</v>
      </c>
      <c r="C14" s="64">
        <v>60000</v>
      </c>
      <c r="D14" s="64"/>
      <c r="E14" s="64"/>
      <c r="F14" s="64"/>
      <c r="G14" s="64"/>
      <c r="H14" s="64"/>
      <c r="I14" s="64"/>
      <c r="J14" s="56">
        <f>SUMPRODUCT(B14:I14,$B$7:$I$7)</f>
        <v>600000</v>
      </c>
      <c r="K14" s="54" t="s">
        <v>15</v>
      </c>
      <c r="L14" s="33">
        <v>600000</v>
      </c>
      <c r="M14" s="41"/>
    </row>
    <row r="15" spans="1:13" ht="15.75" thickBot="1" x14ac:dyDescent="0.3">
      <c r="A15" s="34"/>
      <c r="B15" s="41"/>
      <c r="C15" s="41"/>
      <c r="D15" s="41"/>
      <c r="E15" s="41"/>
      <c r="F15" s="41"/>
      <c r="G15" s="41"/>
      <c r="H15" s="54"/>
      <c r="I15" s="54"/>
      <c r="J15" s="65" t="s">
        <v>16</v>
      </c>
      <c r="K15" s="66" t="s">
        <v>17</v>
      </c>
      <c r="L15" s="67" t="s">
        <v>18</v>
      </c>
      <c r="M15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Solver">
                <anchor moveWithCells="1" sizeWithCells="1">
                  <from>
                    <xdr:col>10</xdr:col>
                    <xdr:colOff>0</xdr:colOff>
                    <xdr:row>5</xdr:row>
                    <xdr:rowOff>9525</xdr:rowOff>
                  </from>
                  <to>
                    <xdr:col>12</xdr:col>
                    <xdr:colOff>0</xdr:colOff>
                    <xdr:row>5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O24"/>
  <sheetViews>
    <sheetView topLeftCell="A4" zoomScale="85" zoomScaleNormal="85" workbookViewId="0">
      <selection activeCell="C15" sqref="C15"/>
    </sheetView>
  </sheetViews>
  <sheetFormatPr defaultRowHeight="15" x14ac:dyDescent="0.25"/>
  <cols>
    <col min="1" max="1" width="16" customWidth="1"/>
    <col min="4" max="4" width="14.75" customWidth="1"/>
  </cols>
  <sheetData>
    <row r="2" spans="1:15" x14ac:dyDescent="0.25">
      <c r="A2" s="32" t="s">
        <v>72</v>
      </c>
      <c r="B2" t="s">
        <v>73</v>
      </c>
    </row>
    <row r="3" spans="1:15" x14ac:dyDescent="0.25">
      <c r="A3" s="32" t="s">
        <v>72</v>
      </c>
      <c r="B3" t="s">
        <v>74</v>
      </c>
    </row>
    <row r="4" spans="1:15" x14ac:dyDescent="0.25">
      <c r="A4" s="32" t="s">
        <v>72</v>
      </c>
      <c r="B4" t="s">
        <v>75</v>
      </c>
    </row>
    <row r="5" spans="1:15" x14ac:dyDescent="0.25">
      <c r="A5" s="32" t="s">
        <v>72</v>
      </c>
      <c r="B5" t="s">
        <v>76</v>
      </c>
    </row>
    <row r="6" spans="1:15" x14ac:dyDescent="0.25">
      <c r="B6" t="s">
        <v>77</v>
      </c>
    </row>
    <row r="8" spans="1:15" ht="17.25" x14ac:dyDescent="0.25">
      <c r="A8" s="75" t="s">
        <v>57</v>
      </c>
      <c r="B8" t="s">
        <v>92</v>
      </c>
      <c r="D8" s="28" t="s">
        <v>78</v>
      </c>
    </row>
    <row r="9" spans="1:15" ht="17.25" x14ac:dyDescent="0.25">
      <c r="A9" s="75" t="s">
        <v>59</v>
      </c>
      <c r="B9" t="s">
        <v>79</v>
      </c>
      <c r="E9" s="28" t="s">
        <v>82</v>
      </c>
    </row>
    <row r="10" spans="1:15" ht="18.75" x14ac:dyDescent="0.35">
      <c r="A10" s="75" t="s">
        <v>60</v>
      </c>
      <c r="B10" t="s">
        <v>80</v>
      </c>
      <c r="E10" s="28" t="s">
        <v>81</v>
      </c>
    </row>
    <row r="12" spans="1:15" ht="15.75" thickBot="1" x14ac:dyDescent="0.3"/>
    <row r="13" spans="1:15" ht="15.75" thickBot="1" x14ac:dyDescent="0.3">
      <c r="A13" s="18"/>
      <c r="B13" s="81" t="s">
        <v>83</v>
      </c>
      <c r="C13" s="82" t="s">
        <v>84</v>
      </c>
      <c r="D13" s="83" t="s">
        <v>85</v>
      </c>
      <c r="E13" s="83" t="s">
        <v>86</v>
      </c>
      <c r="F13" s="20" t="s">
        <v>32</v>
      </c>
      <c r="G13" s="20" t="s">
        <v>33</v>
      </c>
      <c r="H13" s="20" t="s">
        <v>34</v>
      </c>
      <c r="I13" s="20" t="s">
        <v>35</v>
      </c>
      <c r="J13" s="20" t="s">
        <v>36</v>
      </c>
      <c r="K13" s="21" t="s">
        <v>37</v>
      </c>
      <c r="L13" s="22"/>
      <c r="M13" s="22"/>
      <c r="N13" s="22"/>
      <c r="O13" s="22"/>
    </row>
    <row r="14" spans="1:15" ht="39.75" thickBot="1" x14ac:dyDescent="0.3">
      <c r="A14" s="23"/>
      <c r="B14" s="24" t="s">
        <v>87</v>
      </c>
      <c r="C14" s="77" t="s">
        <v>88</v>
      </c>
      <c r="D14" t="s">
        <v>89</v>
      </c>
      <c r="E14" t="s">
        <v>90</v>
      </c>
      <c r="F14" s="26" t="s">
        <v>47</v>
      </c>
      <c r="G14" s="26" t="s">
        <v>46</v>
      </c>
      <c r="H14" s="27" t="s">
        <v>49</v>
      </c>
      <c r="I14" s="27" t="s">
        <v>48</v>
      </c>
      <c r="J14" s="27" t="s">
        <v>50</v>
      </c>
      <c r="K14" s="27" t="s">
        <v>51</v>
      </c>
      <c r="L14" s="22"/>
      <c r="M14" s="22"/>
      <c r="N14" s="22"/>
      <c r="O14" s="22"/>
    </row>
    <row r="15" spans="1:15" ht="15.75" thickBot="1" x14ac:dyDescent="0.3">
      <c r="A15" s="69" t="s">
        <v>11</v>
      </c>
      <c r="B15" s="36">
        <v>6</v>
      </c>
      <c r="C15" s="39">
        <v>1</v>
      </c>
      <c r="D15" s="80">
        <v>3</v>
      </c>
      <c r="E15" s="80">
        <v>7</v>
      </c>
      <c r="F15" s="40">
        <v>0</v>
      </c>
      <c r="G15" s="37">
        <v>0</v>
      </c>
      <c r="H15" s="39">
        <v>0</v>
      </c>
      <c r="I15" s="40">
        <v>1000</v>
      </c>
      <c r="J15" s="37">
        <v>0</v>
      </c>
      <c r="K15" s="37">
        <v>2000</v>
      </c>
      <c r="L15" s="41"/>
      <c r="M15" s="41"/>
      <c r="N15" s="41"/>
      <c r="O15" s="41"/>
    </row>
    <row r="16" spans="1:15" ht="15.75" thickBot="1" x14ac:dyDescent="0.3">
      <c r="A16" s="69" t="s">
        <v>45</v>
      </c>
      <c r="B16" s="42"/>
      <c r="C16" s="43"/>
      <c r="D16" s="79"/>
      <c r="E16" s="76"/>
      <c r="F16" s="43">
        <v>1</v>
      </c>
      <c r="G16" s="43"/>
      <c r="H16" s="43">
        <v>0</v>
      </c>
      <c r="I16" s="43"/>
      <c r="J16" s="43">
        <v>0</v>
      </c>
      <c r="K16" s="43"/>
      <c r="L16" s="44">
        <f>SUMPRODUCT(B16:K16,$B$15:$K$15)</f>
        <v>0</v>
      </c>
      <c r="M16" s="45"/>
      <c r="N16" s="45"/>
      <c r="O16" s="41"/>
    </row>
    <row r="17" spans="1:15" x14ac:dyDescent="0.25">
      <c r="A17" s="70" t="s">
        <v>12</v>
      </c>
      <c r="B17" s="46"/>
      <c r="C17" s="47"/>
      <c r="F17" s="48"/>
      <c r="G17" s="47"/>
      <c r="H17" s="49"/>
      <c r="I17" s="47"/>
      <c r="J17" s="49"/>
      <c r="K17" s="47"/>
      <c r="L17" s="50"/>
      <c r="M17" s="49"/>
      <c r="N17" s="51"/>
      <c r="O17" s="52" t="s">
        <v>13</v>
      </c>
    </row>
    <row r="18" spans="1:15" x14ac:dyDescent="0.25">
      <c r="A18" s="71" t="s">
        <v>40</v>
      </c>
      <c r="B18" s="53">
        <v>300</v>
      </c>
      <c r="C18" s="54">
        <v>250</v>
      </c>
      <c r="D18">
        <v>75</v>
      </c>
      <c r="E18">
        <v>175</v>
      </c>
      <c r="F18" s="54">
        <v>1</v>
      </c>
      <c r="G18" s="54"/>
      <c r="H18" s="54"/>
      <c r="I18" s="55"/>
      <c r="J18" s="55"/>
      <c r="K18" s="54"/>
      <c r="L18" s="56">
        <f>SUMPRODUCT(B18:K18,$B$15:$K$15)</f>
        <v>3500</v>
      </c>
      <c r="M18" s="57" t="s">
        <v>14</v>
      </c>
      <c r="N18" s="33">
        <v>3500</v>
      </c>
      <c r="O18" s="58">
        <f>SUMPRODUCT(B18:C18,$B$15:$C$15)</f>
        <v>2050</v>
      </c>
    </row>
    <row r="19" spans="1:15" x14ac:dyDescent="0.25">
      <c r="A19" s="71" t="s">
        <v>41</v>
      </c>
      <c r="B19" s="53">
        <v>700</v>
      </c>
      <c r="C19" s="54">
        <v>1000</v>
      </c>
      <c r="D19">
        <v>800</v>
      </c>
      <c r="E19">
        <v>1200</v>
      </c>
      <c r="F19" s="54"/>
      <c r="G19" s="54"/>
      <c r="H19" s="54">
        <v>1</v>
      </c>
      <c r="I19" s="54">
        <v>-1</v>
      </c>
      <c r="J19" s="54"/>
      <c r="K19" s="55"/>
      <c r="L19" s="56">
        <f>SUMPRODUCT(B19:K19,$B$15:$K$15)</f>
        <v>15000</v>
      </c>
      <c r="M19" s="57" t="s">
        <v>14</v>
      </c>
      <c r="N19" s="33">
        <v>15000</v>
      </c>
      <c r="O19" s="58">
        <f t="shared" ref="O19:O20" si="0">SUMPRODUCT(B19:C19,$B$15:$C$15)</f>
        <v>5200</v>
      </c>
    </row>
    <row r="20" spans="1:15" x14ac:dyDescent="0.25">
      <c r="A20" s="71" t="s">
        <v>42</v>
      </c>
      <c r="B20" s="59">
        <v>3000</v>
      </c>
      <c r="C20" s="60">
        <v>6000</v>
      </c>
      <c r="D20" s="85">
        <v>3000</v>
      </c>
      <c r="E20" s="85">
        <v>7000</v>
      </c>
      <c r="F20" s="60"/>
      <c r="G20" s="60"/>
      <c r="H20" s="60"/>
      <c r="I20" s="60"/>
      <c r="J20" s="60">
        <v>1</v>
      </c>
      <c r="K20" s="60">
        <v>-1</v>
      </c>
      <c r="L20" s="56">
        <f t="shared" ref="L19:L23" si="1">SUMPRODUCT(B20:K20,$B$15:$K$15)</f>
        <v>80000</v>
      </c>
      <c r="M20" s="61" t="s">
        <v>14</v>
      </c>
      <c r="N20" s="62">
        <v>80000</v>
      </c>
      <c r="O20" s="58">
        <f>SUMPRODUCT(B20:C20,$B$15:$C$15)</f>
        <v>24000</v>
      </c>
    </row>
    <row r="21" spans="1:15" ht="15.75" thickBot="1" x14ac:dyDescent="0.3">
      <c r="A21" s="86" t="s">
        <v>95</v>
      </c>
      <c r="B21" s="41"/>
      <c r="C21" s="41"/>
      <c r="F21" s="41"/>
      <c r="G21" s="41"/>
      <c r="H21" s="41"/>
      <c r="I21" s="41"/>
      <c r="J21" s="54"/>
      <c r="K21" s="54"/>
      <c r="L21" s="84"/>
      <c r="O21" s="58"/>
    </row>
    <row r="22" spans="1:15" x14ac:dyDescent="0.25">
      <c r="A22" s="88" t="s">
        <v>93</v>
      </c>
      <c r="B22" s="89">
        <v>1</v>
      </c>
      <c r="C22" s="89">
        <v>1</v>
      </c>
      <c r="D22" s="90">
        <v>1</v>
      </c>
      <c r="E22" s="90">
        <v>1</v>
      </c>
      <c r="F22" s="90"/>
      <c r="G22" s="90"/>
      <c r="H22" s="90"/>
      <c r="I22" s="90"/>
      <c r="J22" s="90"/>
      <c r="K22" s="90"/>
      <c r="L22" s="56">
        <f t="shared" si="1"/>
        <v>17</v>
      </c>
      <c r="M22" s="93" t="s">
        <v>97</v>
      </c>
      <c r="N22" s="90">
        <v>15</v>
      </c>
      <c r="O22" s="58">
        <f t="shared" ref="O21:O24" si="2">SUMPRODUCT(B22:C22,$B$15:$C$15)</f>
        <v>7</v>
      </c>
    </row>
    <row r="23" spans="1:15" ht="15.75" thickBot="1" x14ac:dyDescent="0.3">
      <c r="A23" s="91" t="s">
        <v>94</v>
      </c>
      <c r="B23" s="92">
        <v>3</v>
      </c>
      <c r="C23" s="92">
        <v>5</v>
      </c>
      <c r="D23" s="79">
        <v>2</v>
      </c>
      <c r="E23" s="79">
        <v>3</v>
      </c>
      <c r="F23" s="79"/>
      <c r="G23" s="79"/>
      <c r="H23" s="79"/>
      <c r="I23" s="79"/>
      <c r="J23" s="79"/>
      <c r="K23" s="79"/>
      <c r="L23" s="56">
        <f t="shared" si="1"/>
        <v>50</v>
      </c>
      <c r="M23" s="94" t="s">
        <v>96</v>
      </c>
      <c r="N23" s="79">
        <v>55</v>
      </c>
      <c r="O23" s="68">
        <f t="shared" si="2"/>
        <v>23</v>
      </c>
    </row>
    <row r="24" spans="1:15" ht="15.75" thickBot="1" x14ac:dyDescent="0.3">
      <c r="L24" s="65" t="s">
        <v>16</v>
      </c>
      <c r="M24" s="66" t="s">
        <v>17</v>
      </c>
      <c r="N24" s="66" t="s">
        <v>18</v>
      </c>
      <c r="O24" s="9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olver">
                <anchor moveWithCells="1" sizeWithCells="1">
                  <from>
                    <xdr:col>12</xdr:col>
                    <xdr:colOff>0</xdr:colOff>
                    <xdr:row>13</xdr:row>
                    <xdr:rowOff>9525</xdr:rowOff>
                  </from>
                  <to>
                    <xdr:col>14</xdr:col>
                    <xdr:colOff>0</xdr:colOff>
                    <xdr:row>13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O24"/>
  <sheetViews>
    <sheetView topLeftCell="A7" zoomScale="85" zoomScaleNormal="85" workbookViewId="0">
      <selection activeCell="G10" sqref="G10"/>
    </sheetView>
  </sheetViews>
  <sheetFormatPr defaultRowHeight="15" x14ac:dyDescent="0.25"/>
  <cols>
    <col min="1" max="1" width="16" customWidth="1"/>
    <col min="4" max="4" width="14.75" customWidth="1"/>
  </cols>
  <sheetData>
    <row r="2" spans="1:15" x14ac:dyDescent="0.25">
      <c r="A2" s="32" t="s">
        <v>72</v>
      </c>
      <c r="B2" t="s">
        <v>73</v>
      </c>
    </row>
    <row r="3" spans="1:15" x14ac:dyDescent="0.25">
      <c r="A3" s="32" t="s">
        <v>72</v>
      </c>
      <c r="B3" t="s">
        <v>74</v>
      </c>
    </row>
    <row r="4" spans="1:15" x14ac:dyDescent="0.25">
      <c r="A4" s="32" t="s">
        <v>72</v>
      </c>
      <c r="B4" t="s">
        <v>75</v>
      </c>
    </row>
    <row r="5" spans="1:15" x14ac:dyDescent="0.25">
      <c r="A5" s="32" t="s">
        <v>72</v>
      </c>
      <c r="B5" t="s">
        <v>76</v>
      </c>
    </row>
    <row r="6" spans="1:15" x14ac:dyDescent="0.25">
      <c r="B6" t="s">
        <v>77</v>
      </c>
    </row>
    <row r="8" spans="1:15" ht="17.25" x14ac:dyDescent="0.25">
      <c r="A8" s="75" t="s">
        <v>57</v>
      </c>
      <c r="B8" t="s">
        <v>92</v>
      </c>
      <c r="D8" s="28" t="s">
        <v>78</v>
      </c>
    </row>
    <row r="9" spans="1:15" ht="17.25" x14ac:dyDescent="0.25">
      <c r="A9" s="75" t="s">
        <v>59</v>
      </c>
      <c r="B9" t="s">
        <v>79</v>
      </c>
      <c r="E9" s="28" t="s">
        <v>82</v>
      </c>
    </row>
    <row r="10" spans="1:15" ht="18.75" x14ac:dyDescent="0.35">
      <c r="A10" s="75" t="s">
        <v>60</v>
      </c>
      <c r="B10" t="s">
        <v>80</v>
      </c>
      <c r="E10" s="28" t="s">
        <v>81</v>
      </c>
    </row>
    <row r="12" spans="1:15" ht="15.75" thickBot="1" x14ac:dyDescent="0.3"/>
    <row r="13" spans="1:15" ht="15.75" thickBot="1" x14ac:dyDescent="0.3">
      <c r="A13" s="18"/>
      <c r="B13" s="81" t="s">
        <v>83</v>
      </c>
      <c r="C13" s="82" t="s">
        <v>84</v>
      </c>
      <c r="D13" s="83" t="s">
        <v>85</v>
      </c>
      <c r="E13" s="83" t="s">
        <v>86</v>
      </c>
      <c r="F13" s="20" t="s">
        <v>32</v>
      </c>
      <c r="G13" s="20" t="s">
        <v>33</v>
      </c>
      <c r="H13" s="20" t="s">
        <v>34</v>
      </c>
      <c r="I13" s="20" t="s">
        <v>35</v>
      </c>
      <c r="J13" s="20" t="s">
        <v>36</v>
      </c>
      <c r="K13" s="21" t="s">
        <v>37</v>
      </c>
      <c r="L13" s="22"/>
      <c r="M13" s="22"/>
      <c r="N13" s="22"/>
      <c r="O13" s="22"/>
    </row>
    <row r="14" spans="1:15" ht="39.75" thickBot="1" x14ac:dyDescent="0.3">
      <c r="A14" s="23"/>
      <c r="B14" s="24" t="s">
        <v>87</v>
      </c>
      <c r="C14" s="77" t="s">
        <v>88</v>
      </c>
      <c r="D14" t="s">
        <v>89</v>
      </c>
      <c r="E14" t="s">
        <v>90</v>
      </c>
      <c r="F14" s="26" t="s">
        <v>47</v>
      </c>
      <c r="G14" s="26" t="s">
        <v>46</v>
      </c>
      <c r="H14" s="27" t="s">
        <v>49</v>
      </c>
      <c r="I14" s="27" t="s">
        <v>48</v>
      </c>
      <c r="J14" s="27" t="s">
        <v>50</v>
      </c>
      <c r="K14" s="27" t="s">
        <v>51</v>
      </c>
      <c r="L14" s="22"/>
      <c r="M14" s="22"/>
      <c r="N14" s="22"/>
      <c r="O14" s="22"/>
    </row>
    <row r="15" spans="1:15" ht="15.75" thickBot="1" x14ac:dyDescent="0.3">
      <c r="A15" s="69" t="s">
        <v>11</v>
      </c>
      <c r="B15" s="36">
        <v>6</v>
      </c>
      <c r="C15" s="39">
        <v>1</v>
      </c>
      <c r="D15" s="80">
        <v>3</v>
      </c>
      <c r="E15" s="80">
        <v>7</v>
      </c>
      <c r="F15" s="40">
        <v>0</v>
      </c>
      <c r="G15" s="37">
        <v>0</v>
      </c>
      <c r="H15" s="39">
        <v>0</v>
      </c>
      <c r="I15" s="40">
        <v>1000</v>
      </c>
      <c r="J15" s="37">
        <v>0</v>
      </c>
      <c r="K15" s="37">
        <v>2000</v>
      </c>
      <c r="L15" s="41"/>
      <c r="M15" s="41"/>
      <c r="N15" s="41"/>
      <c r="O15" s="41"/>
    </row>
    <row r="16" spans="1:15" ht="15.75" thickBot="1" x14ac:dyDescent="0.3">
      <c r="A16" s="69" t="s">
        <v>45</v>
      </c>
      <c r="B16" s="42"/>
      <c r="C16" s="43"/>
      <c r="D16" s="79"/>
      <c r="E16" s="76"/>
      <c r="F16" s="43">
        <v>0</v>
      </c>
      <c r="G16" s="43"/>
      <c r="H16" s="43">
        <v>1</v>
      </c>
      <c r="I16" s="43"/>
      <c r="J16" s="43">
        <v>0</v>
      </c>
      <c r="K16" s="43"/>
      <c r="L16" s="44">
        <f>SUMPRODUCT(B16:K16,$B$15:$K$15)</f>
        <v>0</v>
      </c>
      <c r="M16" s="45"/>
      <c r="N16" s="45"/>
      <c r="O16" s="41"/>
    </row>
    <row r="17" spans="1:15" x14ac:dyDescent="0.25">
      <c r="A17" s="70" t="s">
        <v>12</v>
      </c>
      <c r="B17" s="46"/>
      <c r="C17" s="47"/>
      <c r="F17" s="48"/>
      <c r="G17" s="47"/>
      <c r="H17" s="49"/>
      <c r="I17" s="47"/>
      <c r="J17" s="49"/>
      <c r="K17" s="47"/>
      <c r="L17" s="50"/>
      <c r="M17" s="49"/>
      <c r="N17" s="51"/>
      <c r="O17" s="52" t="s">
        <v>13</v>
      </c>
    </row>
    <row r="18" spans="1:15" x14ac:dyDescent="0.25">
      <c r="A18" s="71" t="s">
        <v>40</v>
      </c>
      <c r="B18" s="53">
        <v>300</v>
      </c>
      <c r="C18" s="54">
        <v>250</v>
      </c>
      <c r="D18">
        <v>75</v>
      </c>
      <c r="E18">
        <v>175</v>
      </c>
      <c r="F18" s="54">
        <v>1</v>
      </c>
      <c r="G18" s="54"/>
      <c r="H18" s="54"/>
      <c r="I18" s="55"/>
      <c r="J18" s="55"/>
      <c r="K18" s="54"/>
      <c r="L18" s="56">
        <f>SUMPRODUCT(B18:K18,$B$15:$K$15)</f>
        <v>3500</v>
      </c>
      <c r="M18" s="57" t="s">
        <v>14</v>
      </c>
      <c r="N18" s="33">
        <v>3500</v>
      </c>
      <c r="O18" s="58">
        <f>SUMPRODUCT(B18:C18,$B$15:$C$15)</f>
        <v>2050</v>
      </c>
    </row>
    <row r="19" spans="1:15" x14ac:dyDescent="0.25">
      <c r="A19" s="71" t="s">
        <v>41</v>
      </c>
      <c r="B19" s="53">
        <v>700</v>
      </c>
      <c r="C19" s="54">
        <v>1000</v>
      </c>
      <c r="D19">
        <v>800</v>
      </c>
      <c r="E19">
        <v>1200</v>
      </c>
      <c r="F19" s="54"/>
      <c r="G19" s="54"/>
      <c r="H19" s="54">
        <v>1</v>
      </c>
      <c r="I19" s="54">
        <v>-1</v>
      </c>
      <c r="J19" s="54"/>
      <c r="K19" s="55"/>
      <c r="L19" s="56">
        <f>SUMPRODUCT(B19:K19,$B$15:$K$15)</f>
        <v>15000</v>
      </c>
      <c r="M19" s="57" t="s">
        <v>14</v>
      </c>
      <c r="N19" s="33">
        <v>15000</v>
      </c>
      <c r="O19" s="58">
        <f t="shared" ref="O19:O20" si="0">SUMPRODUCT(B19:C19,$B$15:$C$15)</f>
        <v>5200</v>
      </c>
    </row>
    <row r="20" spans="1:15" x14ac:dyDescent="0.25">
      <c r="A20" s="71" t="s">
        <v>42</v>
      </c>
      <c r="B20" s="59">
        <v>3000</v>
      </c>
      <c r="C20" s="60">
        <v>6000</v>
      </c>
      <c r="D20" s="85">
        <v>3000</v>
      </c>
      <c r="E20" s="85">
        <v>7000</v>
      </c>
      <c r="F20" s="60"/>
      <c r="G20" s="60"/>
      <c r="H20" s="60"/>
      <c r="I20" s="60"/>
      <c r="J20" s="60">
        <v>1</v>
      </c>
      <c r="K20" s="60">
        <v>-1</v>
      </c>
      <c r="L20" s="56">
        <f t="shared" ref="L20:L23" si="1">SUMPRODUCT(B20:K20,$B$15:$K$15)</f>
        <v>80000</v>
      </c>
      <c r="M20" s="61" t="s">
        <v>14</v>
      </c>
      <c r="N20" s="62">
        <v>80000</v>
      </c>
      <c r="O20" s="58">
        <f>SUMPRODUCT(B20:C20,$B$15:$C$15)</f>
        <v>24000</v>
      </c>
    </row>
    <row r="21" spans="1:15" ht="15.75" thickBot="1" x14ac:dyDescent="0.3">
      <c r="A21" s="86" t="s">
        <v>95</v>
      </c>
      <c r="B21" s="41"/>
      <c r="C21" s="41"/>
      <c r="F21" s="41"/>
      <c r="G21" s="41"/>
      <c r="H21" s="41"/>
      <c r="I21" s="41"/>
      <c r="J21" s="54"/>
      <c r="K21" s="54"/>
      <c r="L21" s="84"/>
      <c r="O21" s="58"/>
    </row>
    <row r="22" spans="1:15" x14ac:dyDescent="0.25">
      <c r="A22" s="88" t="s">
        <v>93</v>
      </c>
      <c r="B22" s="89">
        <v>1</v>
      </c>
      <c r="C22" s="89">
        <v>1</v>
      </c>
      <c r="D22" s="90">
        <v>1</v>
      </c>
      <c r="E22" s="90">
        <v>1</v>
      </c>
      <c r="F22" s="90"/>
      <c r="G22" s="90"/>
      <c r="H22" s="90"/>
      <c r="I22" s="90"/>
      <c r="J22" s="90"/>
      <c r="K22" s="90"/>
      <c r="L22" s="56">
        <f t="shared" si="1"/>
        <v>17</v>
      </c>
      <c r="M22" s="93" t="s">
        <v>97</v>
      </c>
      <c r="N22" s="90">
        <v>15</v>
      </c>
      <c r="O22" s="58">
        <f t="shared" ref="O22:O25" si="2">SUMPRODUCT(B22:C22,$B$15:$C$15)</f>
        <v>7</v>
      </c>
    </row>
    <row r="23" spans="1:15" ht="15.75" thickBot="1" x14ac:dyDescent="0.3">
      <c r="A23" s="91" t="s">
        <v>94</v>
      </c>
      <c r="B23" s="92">
        <v>3</v>
      </c>
      <c r="C23" s="92">
        <v>5</v>
      </c>
      <c r="D23" s="79">
        <v>2</v>
      </c>
      <c r="E23" s="79">
        <v>3</v>
      </c>
      <c r="F23" s="79"/>
      <c r="G23" s="79"/>
      <c r="H23" s="79"/>
      <c r="I23" s="79"/>
      <c r="J23" s="79"/>
      <c r="K23" s="79"/>
      <c r="L23" s="56">
        <f t="shared" si="1"/>
        <v>50</v>
      </c>
      <c r="M23" s="94" t="s">
        <v>96</v>
      </c>
      <c r="N23" s="79">
        <v>55</v>
      </c>
      <c r="O23" s="68">
        <f t="shared" si="2"/>
        <v>23</v>
      </c>
    </row>
    <row r="24" spans="1:15" ht="15.75" thickBot="1" x14ac:dyDescent="0.3">
      <c r="L24" s="65" t="s">
        <v>16</v>
      </c>
      <c r="M24" s="66" t="s">
        <v>17</v>
      </c>
      <c r="N24" s="66" t="s">
        <v>18</v>
      </c>
      <c r="O24" s="9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olver">
                <anchor moveWithCells="1" sizeWithCells="1">
                  <from>
                    <xdr:col>12</xdr:col>
                    <xdr:colOff>0</xdr:colOff>
                    <xdr:row>13</xdr:row>
                    <xdr:rowOff>9525</xdr:rowOff>
                  </from>
                  <to>
                    <xdr:col>14</xdr:col>
                    <xdr:colOff>0</xdr:colOff>
                    <xdr:row>13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O24"/>
  <sheetViews>
    <sheetView topLeftCell="A7" zoomScale="85" zoomScaleNormal="85" workbookViewId="0">
      <selection activeCell="M11" sqref="M11"/>
    </sheetView>
  </sheetViews>
  <sheetFormatPr defaultRowHeight="15" x14ac:dyDescent="0.25"/>
  <cols>
    <col min="1" max="1" width="16" customWidth="1"/>
    <col min="4" max="4" width="14.75" customWidth="1"/>
  </cols>
  <sheetData>
    <row r="2" spans="1:15" x14ac:dyDescent="0.25">
      <c r="A2" s="32" t="s">
        <v>72</v>
      </c>
      <c r="B2" t="s">
        <v>73</v>
      </c>
    </row>
    <row r="3" spans="1:15" x14ac:dyDescent="0.25">
      <c r="A3" s="32" t="s">
        <v>72</v>
      </c>
      <c r="B3" t="s">
        <v>74</v>
      </c>
    </row>
    <row r="4" spans="1:15" x14ac:dyDescent="0.25">
      <c r="A4" s="32" t="s">
        <v>72</v>
      </c>
      <c r="B4" t="s">
        <v>75</v>
      </c>
    </row>
    <row r="5" spans="1:15" x14ac:dyDescent="0.25">
      <c r="A5" s="32" t="s">
        <v>72</v>
      </c>
      <c r="B5" t="s">
        <v>76</v>
      </c>
    </row>
    <row r="6" spans="1:15" x14ac:dyDescent="0.25">
      <c r="B6" t="s">
        <v>77</v>
      </c>
    </row>
    <row r="8" spans="1:15" ht="17.25" x14ac:dyDescent="0.25">
      <c r="A8" s="75" t="s">
        <v>57</v>
      </c>
      <c r="B8" t="s">
        <v>92</v>
      </c>
      <c r="D8" s="28" t="s">
        <v>78</v>
      </c>
    </row>
    <row r="9" spans="1:15" ht="17.25" x14ac:dyDescent="0.25">
      <c r="A9" s="75" t="s">
        <v>59</v>
      </c>
      <c r="B9" t="s">
        <v>79</v>
      </c>
      <c r="E9" s="28" t="s">
        <v>82</v>
      </c>
    </row>
    <row r="10" spans="1:15" ht="18.75" x14ac:dyDescent="0.35">
      <c r="A10" s="75" t="s">
        <v>60</v>
      </c>
      <c r="B10" t="s">
        <v>80</v>
      </c>
      <c r="E10" s="28" t="s">
        <v>81</v>
      </c>
    </row>
    <row r="12" spans="1:15" ht="15.75" thickBot="1" x14ac:dyDescent="0.3"/>
    <row r="13" spans="1:15" ht="15.75" thickBot="1" x14ac:dyDescent="0.3">
      <c r="A13" s="18"/>
      <c r="B13" s="81" t="s">
        <v>83</v>
      </c>
      <c r="C13" s="82" t="s">
        <v>84</v>
      </c>
      <c r="D13" s="83" t="s">
        <v>85</v>
      </c>
      <c r="E13" s="83" t="s">
        <v>86</v>
      </c>
      <c r="F13" s="20" t="s">
        <v>32</v>
      </c>
      <c r="G13" s="20" t="s">
        <v>33</v>
      </c>
      <c r="H13" s="20" t="s">
        <v>34</v>
      </c>
      <c r="I13" s="20" t="s">
        <v>35</v>
      </c>
      <c r="J13" s="20" t="s">
        <v>36</v>
      </c>
      <c r="K13" s="21" t="s">
        <v>37</v>
      </c>
      <c r="L13" s="22"/>
      <c r="M13" s="22"/>
      <c r="N13" s="22"/>
      <c r="O13" s="22"/>
    </row>
    <row r="14" spans="1:15" ht="39.75" thickBot="1" x14ac:dyDescent="0.3">
      <c r="A14" s="23"/>
      <c r="B14" s="24" t="s">
        <v>87</v>
      </c>
      <c r="C14" s="77" t="s">
        <v>88</v>
      </c>
      <c r="D14" t="s">
        <v>89</v>
      </c>
      <c r="E14" t="s">
        <v>90</v>
      </c>
      <c r="F14" s="26" t="s">
        <v>47</v>
      </c>
      <c r="G14" s="26" t="s">
        <v>46</v>
      </c>
      <c r="H14" s="27" t="s">
        <v>49</v>
      </c>
      <c r="I14" s="27" t="s">
        <v>48</v>
      </c>
      <c r="J14" s="27" t="s">
        <v>50</v>
      </c>
      <c r="K14" s="27" t="s">
        <v>51</v>
      </c>
      <c r="L14" s="22"/>
      <c r="M14" s="22"/>
      <c r="N14" s="22"/>
      <c r="O14" s="22"/>
    </row>
    <row r="15" spans="1:15" ht="15.75" thickBot="1" x14ac:dyDescent="0.3">
      <c r="A15" s="69" t="s">
        <v>11</v>
      </c>
      <c r="B15" s="36">
        <v>6</v>
      </c>
      <c r="C15" s="39">
        <v>1</v>
      </c>
      <c r="D15" s="80">
        <v>3</v>
      </c>
      <c r="E15" s="80">
        <v>7</v>
      </c>
      <c r="F15" s="40">
        <v>0</v>
      </c>
      <c r="G15" s="37">
        <v>0</v>
      </c>
      <c r="H15" s="39">
        <v>0</v>
      </c>
      <c r="I15" s="40">
        <v>1000</v>
      </c>
      <c r="J15" s="37">
        <v>0</v>
      </c>
      <c r="K15" s="37">
        <v>2000</v>
      </c>
      <c r="L15" s="41"/>
      <c r="M15" s="41"/>
      <c r="N15" s="41"/>
      <c r="O15" s="41"/>
    </row>
    <row r="16" spans="1:15" ht="15.75" thickBot="1" x14ac:dyDescent="0.3">
      <c r="A16" s="69" t="s">
        <v>45</v>
      </c>
      <c r="B16" s="42"/>
      <c r="C16" s="43"/>
      <c r="D16" s="79"/>
      <c r="E16" s="76"/>
      <c r="F16" s="43">
        <v>0</v>
      </c>
      <c r="G16" s="43"/>
      <c r="H16" s="43">
        <v>0</v>
      </c>
      <c r="I16" s="43"/>
      <c r="J16" s="43">
        <v>1</v>
      </c>
      <c r="K16" s="43"/>
      <c r="L16" s="44">
        <f>SUMPRODUCT(B16:K16,$B$15:$K$15)</f>
        <v>0</v>
      </c>
      <c r="M16" s="45"/>
      <c r="N16" s="45"/>
      <c r="O16" s="41"/>
    </row>
    <row r="17" spans="1:15" x14ac:dyDescent="0.25">
      <c r="A17" s="70" t="s">
        <v>12</v>
      </c>
      <c r="B17" s="46"/>
      <c r="C17" s="47"/>
      <c r="F17" s="48"/>
      <c r="G17" s="47"/>
      <c r="H17" s="49"/>
      <c r="I17" s="47"/>
      <c r="J17" s="49"/>
      <c r="K17" s="47"/>
      <c r="L17" s="50"/>
      <c r="M17" s="49"/>
      <c r="N17" s="51"/>
      <c r="O17" s="52" t="s">
        <v>13</v>
      </c>
    </row>
    <row r="18" spans="1:15" x14ac:dyDescent="0.25">
      <c r="A18" s="71" t="s">
        <v>40</v>
      </c>
      <c r="B18" s="53">
        <v>300</v>
      </c>
      <c r="C18" s="54">
        <v>250</v>
      </c>
      <c r="D18">
        <v>75</v>
      </c>
      <c r="E18">
        <v>175</v>
      </c>
      <c r="F18" s="54">
        <v>1</v>
      </c>
      <c r="G18" s="54"/>
      <c r="H18" s="54"/>
      <c r="I18" s="55"/>
      <c r="J18" s="55"/>
      <c r="K18" s="54"/>
      <c r="L18" s="56">
        <f>SUMPRODUCT(B18:K18,$B$15:$K$15)</f>
        <v>3500</v>
      </c>
      <c r="M18" s="57" t="s">
        <v>14</v>
      </c>
      <c r="N18" s="33">
        <v>3500</v>
      </c>
      <c r="O18" s="58">
        <f>SUMPRODUCT(B18:C18,$B$15:$C$15)</f>
        <v>2050</v>
      </c>
    </row>
    <row r="19" spans="1:15" x14ac:dyDescent="0.25">
      <c r="A19" s="71" t="s">
        <v>41</v>
      </c>
      <c r="B19" s="53">
        <v>700</v>
      </c>
      <c r="C19" s="54">
        <v>1000</v>
      </c>
      <c r="D19">
        <v>800</v>
      </c>
      <c r="E19">
        <v>1200</v>
      </c>
      <c r="F19" s="54"/>
      <c r="G19" s="54"/>
      <c r="H19" s="54">
        <v>1</v>
      </c>
      <c r="I19" s="54">
        <v>-1</v>
      </c>
      <c r="J19" s="54"/>
      <c r="K19" s="55"/>
      <c r="L19" s="56">
        <f>SUMPRODUCT(B19:K19,$B$15:$K$15)</f>
        <v>15000</v>
      </c>
      <c r="M19" s="57" t="s">
        <v>14</v>
      </c>
      <c r="N19" s="33">
        <v>15000</v>
      </c>
      <c r="O19" s="58">
        <f t="shared" ref="O19:O20" si="0">SUMPRODUCT(B19:C19,$B$15:$C$15)</f>
        <v>5200</v>
      </c>
    </row>
    <row r="20" spans="1:15" x14ac:dyDescent="0.25">
      <c r="A20" s="71" t="s">
        <v>42</v>
      </c>
      <c r="B20" s="59">
        <v>3000</v>
      </c>
      <c r="C20" s="60">
        <v>6000</v>
      </c>
      <c r="D20" s="85">
        <v>3000</v>
      </c>
      <c r="E20" s="85">
        <v>7000</v>
      </c>
      <c r="F20" s="60"/>
      <c r="G20" s="60"/>
      <c r="H20" s="60"/>
      <c r="I20" s="60"/>
      <c r="J20" s="60">
        <v>1</v>
      </c>
      <c r="K20" s="60">
        <v>-1</v>
      </c>
      <c r="L20" s="56">
        <f t="shared" ref="L20:L23" si="1">SUMPRODUCT(B20:K20,$B$15:$K$15)</f>
        <v>80000</v>
      </c>
      <c r="M20" s="61" t="s">
        <v>14</v>
      </c>
      <c r="N20" s="62">
        <v>80000</v>
      </c>
      <c r="O20" s="58">
        <f>SUMPRODUCT(B20:C20,$B$15:$C$15)</f>
        <v>24000</v>
      </c>
    </row>
    <row r="21" spans="1:15" ht="15.75" thickBot="1" x14ac:dyDescent="0.3">
      <c r="A21" s="86" t="s">
        <v>95</v>
      </c>
      <c r="B21" s="41"/>
      <c r="C21" s="41"/>
      <c r="F21" s="41"/>
      <c r="G21" s="41"/>
      <c r="H21" s="41"/>
      <c r="I21" s="41"/>
      <c r="J21" s="54"/>
      <c r="K21" s="54"/>
      <c r="L21" s="84"/>
      <c r="O21" s="58"/>
    </row>
    <row r="22" spans="1:15" x14ac:dyDescent="0.25">
      <c r="A22" s="88" t="s">
        <v>93</v>
      </c>
      <c r="B22" s="89">
        <v>1</v>
      </c>
      <c r="C22" s="89">
        <v>1</v>
      </c>
      <c r="D22" s="90">
        <v>1</v>
      </c>
      <c r="E22" s="90">
        <v>1</v>
      </c>
      <c r="F22" s="90"/>
      <c r="G22" s="90"/>
      <c r="H22" s="90"/>
      <c r="I22" s="90"/>
      <c r="J22" s="90"/>
      <c r="K22" s="90"/>
      <c r="L22" s="56">
        <f t="shared" si="1"/>
        <v>17</v>
      </c>
      <c r="M22" s="93" t="s">
        <v>97</v>
      </c>
      <c r="N22" s="90">
        <v>15</v>
      </c>
      <c r="O22" s="58">
        <f t="shared" ref="O22:O25" si="2">SUMPRODUCT(B22:C22,$B$15:$C$15)</f>
        <v>7</v>
      </c>
    </row>
    <row r="23" spans="1:15" ht="15.75" thickBot="1" x14ac:dyDescent="0.3">
      <c r="A23" s="91" t="s">
        <v>94</v>
      </c>
      <c r="B23" s="92">
        <v>3</v>
      </c>
      <c r="C23" s="92">
        <v>5</v>
      </c>
      <c r="D23" s="79">
        <v>2</v>
      </c>
      <c r="E23" s="79">
        <v>3</v>
      </c>
      <c r="F23" s="79"/>
      <c r="G23" s="79"/>
      <c r="H23" s="79"/>
      <c r="I23" s="79"/>
      <c r="J23" s="79"/>
      <c r="K23" s="79"/>
      <c r="L23" s="56">
        <f t="shared" si="1"/>
        <v>50</v>
      </c>
      <c r="M23" s="94" t="s">
        <v>96</v>
      </c>
      <c r="N23" s="79">
        <v>55</v>
      </c>
      <c r="O23" s="68">
        <f t="shared" si="2"/>
        <v>23</v>
      </c>
    </row>
    <row r="24" spans="1:15" ht="15.75" thickBot="1" x14ac:dyDescent="0.3">
      <c r="L24" s="65" t="s">
        <v>16</v>
      </c>
      <c r="M24" s="66" t="s">
        <v>17</v>
      </c>
      <c r="N24" s="66" t="s">
        <v>18</v>
      </c>
      <c r="O24" s="9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olver">
                <anchor moveWithCells="1" sizeWithCells="1">
                  <from>
                    <xdr:col>12</xdr:col>
                    <xdr:colOff>0</xdr:colOff>
                    <xdr:row>13</xdr:row>
                    <xdr:rowOff>9525</xdr:rowOff>
                  </from>
                  <to>
                    <xdr:col>14</xdr:col>
                    <xdr:colOff>0</xdr:colOff>
                    <xdr:row>13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2:U22"/>
  <sheetViews>
    <sheetView zoomScale="85" zoomScaleNormal="85" workbookViewId="0">
      <selection activeCell="Q11" sqref="Q11"/>
    </sheetView>
  </sheetViews>
  <sheetFormatPr defaultRowHeight="15" x14ac:dyDescent="0.25"/>
  <cols>
    <col min="1" max="1" width="11.5" customWidth="1"/>
  </cols>
  <sheetData>
    <row r="2" spans="1:21" x14ac:dyDescent="0.25">
      <c r="A2" t="s">
        <v>55</v>
      </c>
    </row>
    <row r="3" spans="1:21" x14ac:dyDescent="0.25">
      <c r="A3" t="s">
        <v>56</v>
      </c>
    </row>
    <row r="4" spans="1:21" x14ac:dyDescent="0.25">
      <c r="A4" t="s">
        <v>57</v>
      </c>
      <c r="B4" t="s">
        <v>58</v>
      </c>
      <c r="D4" s="28" t="s">
        <v>63</v>
      </c>
    </row>
    <row r="5" spans="1:21" x14ac:dyDescent="0.25">
      <c r="A5" t="s">
        <v>59</v>
      </c>
      <c r="B5" t="s">
        <v>69</v>
      </c>
      <c r="G5" s="28" t="s">
        <v>64</v>
      </c>
    </row>
    <row r="6" spans="1:21" x14ac:dyDescent="0.25">
      <c r="A6" t="s">
        <v>60</v>
      </c>
      <c r="B6" t="s">
        <v>68</v>
      </c>
      <c r="D6" s="28" t="s">
        <v>65</v>
      </c>
    </row>
    <row r="7" spans="1:21" x14ac:dyDescent="0.25">
      <c r="A7" t="s">
        <v>61</v>
      </c>
      <c r="B7" t="s">
        <v>67</v>
      </c>
      <c r="D7" s="28" t="s">
        <v>66</v>
      </c>
    </row>
    <row r="8" spans="1:21" x14ac:dyDescent="0.25">
      <c r="A8" t="s">
        <v>62</v>
      </c>
      <c r="B8" t="s">
        <v>71</v>
      </c>
      <c r="D8" s="28" t="s">
        <v>70</v>
      </c>
    </row>
    <row r="9" spans="1:21" ht="15.75" thickBot="1" x14ac:dyDescent="0.3"/>
    <row r="10" spans="1:21" ht="15.75" thickBot="1" x14ac:dyDescent="0.3">
      <c r="A10" s="18"/>
      <c r="B10" s="81" t="s">
        <v>98</v>
      </c>
      <c r="C10" s="82" t="s">
        <v>103</v>
      </c>
      <c r="D10" s="83" t="s">
        <v>99</v>
      </c>
      <c r="E10" s="83" t="s">
        <v>100</v>
      </c>
      <c r="F10" s="76" t="s">
        <v>101</v>
      </c>
      <c r="G10" s="76" t="s">
        <v>102</v>
      </c>
      <c r="H10" s="20" t="s">
        <v>32</v>
      </c>
      <c r="I10" s="20" t="s">
        <v>33</v>
      </c>
      <c r="J10" s="20" t="s">
        <v>34</v>
      </c>
      <c r="K10" s="20" t="s">
        <v>35</v>
      </c>
      <c r="L10" s="20" t="s">
        <v>36</v>
      </c>
      <c r="M10" s="21" t="s">
        <v>37</v>
      </c>
      <c r="N10" s="21" t="s">
        <v>104</v>
      </c>
      <c r="O10" s="21" t="s">
        <v>105</v>
      </c>
      <c r="P10" s="21" t="s">
        <v>106</v>
      </c>
      <c r="Q10" s="21" t="s">
        <v>107</v>
      </c>
    </row>
    <row r="11" spans="1:21" ht="39.75" thickBot="1" x14ac:dyDescent="0.3">
      <c r="A11" s="23"/>
      <c r="B11" s="24"/>
      <c r="C11" s="77"/>
      <c r="H11" s="26" t="s">
        <v>47</v>
      </c>
      <c r="I11" s="26" t="s">
        <v>46</v>
      </c>
      <c r="J11" s="27" t="s">
        <v>49</v>
      </c>
      <c r="K11" s="27" t="s">
        <v>48</v>
      </c>
      <c r="L11" s="27" t="s">
        <v>50</v>
      </c>
      <c r="M11" s="27" t="s">
        <v>51</v>
      </c>
      <c r="S11" s="22"/>
      <c r="T11" s="22"/>
      <c r="U11" s="22"/>
    </row>
    <row r="12" spans="1:21" ht="15.75" thickBot="1" x14ac:dyDescent="0.3">
      <c r="A12" s="69" t="s">
        <v>11</v>
      </c>
      <c r="B12" s="36">
        <v>0</v>
      </c>
      <c r="C12" s="39">
        <v>900</v>
      </c>
      <c r="D12" s="80">
        <v>5800</v>
      </c>
      <c r="E12" s="80">
        <v>0</v>
      </c>
      <c r="F12" s="80">
        <v>50</v>
      </c>
      <c r="G12" s="80">
        <v>2250</v>
      </c>
      <c r="H12" s="40">
        <v>0</v>
      </c>
      <c r="I12" s="37">
        <v>0</v>
      </c>
      <c r="J12" s="39">
        <v>368</v>
      </c>
      <c r="K12" s="40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6685</v>
      </c>
      <c r="R12" s="21"/>
      <c r="S12" s="41"/>
      <c r="T12" s="41"/>
      <c r="U12" s="41"/>
    </row>
    <row r="13" spans="1:21" ht="15.75" thickBot="1" x14ac:dyDescent="0.3">
      <c r="A13" s="69" t="s">
        <v>45</v>
      </c>
      <c r="B13" s="42"/>
      <c r="C13" s="43"/>
      <c r="D13" s="79"/>
      <c r="E13" s="76"/>
      <c r="H13" s="43">
        <v>25</v>
      </c>
      <c r="I13" s="43"/>
      <c r="J13" s="43">
        <v>20</v>
      </c>
      <c r="K13" s="43"/>
      <c r="L13" s="43">
        <v>15</v>
      </c>
      <c r="M13" s="43"/>
      <c r="N13" s="43">
        <v>15</v>
      </c>
      <c r="O13" s="43"/>
      <c r="P13" s="43">
        <v>10</v>
      </c>
      <c r="Q13" s="43"/>
      <c r="R13" s="44">
        <f>SUMPRODUCT(B13:Q13,$B$12:$Q$12)</f>
        <v>7360</v>
      </c>
      <c r="S13" s="45"/>
      <c r="T13" s="45"/>
      <c r="U13" s="41"/>
    </row>
    <row r="14" spans="1:21" x14ac:dyDescent="0.25">
      <c r="A14" s="70" t="s">
        <v>12</v>
      </c>
      <c r="B14" s="46"/>
      <c r="C14" s="47"/>
      <c r="E14" s="90"/>
      <c r="F14" s="90"/>
      <c r="G14" s="103"/>
      <c r="H14" s="48"/>
      <c r="I14" s="47"/>
      <c r="J14" s="49"/>
      <c r="K14" s="47"/>
      <c r="L14" s="49"/>
      <c r="M14" s="47"/>
      <c r="R14" s="50"/>
      <c r="S14" s="49"/>
      <c r="T14" s="51"/>
      <c r="U14" s="52" t="s">
        <v>13</v>
      </c>
    </row>
    <row r="15" spans="1:21" x14ac:dyDescent="0.25">
      <c r="A15" s="71" t="s">
        <v>40</v>
      </c>
      <c r="B15" s="53">
        <v>1</v>
      </c>
      <c r="C15" s="54">
        <v>1</v>
      </c>
      <c r="D15">
        <v>1</v>
      </c>
      <c r="E15" s="29">
        <v>1</v>
      </c>
      <c r="F15" s="29">
        <v>1</v>
      </c>
      <c r="G15" s="100">
        <v>1</v>
      </c>
      <c r="H15" s="54">
        <v>1</v>
      </c>
      <c r="I15" s="54"/>
      <c r="J15" s="54"/>
      <c r="K15" s="55"/>
      <c r="L15" s="55"/>
      <c r="M15" s="54"/>
      <c r="R15" s="56">
        <f>SUMPRODUCT(B15:Q15,$B$12:$Q$12)</f>
        <v>9000</v>
      </c>
      <c r="S15" s="57" t="s">
        <v>14</v>
      </c>
      <c r="T15" s="33">
        <v>9000</v>
      </c>
      <c r="U15" s="58">
        <f>SUMPRODUCT(B15:G15,$B$12:$G$12)</f>
        <v>9000</v>
      </c>
    </row>
    <row r="16" spans="1:21" x14ac:dyDescent="0.25">
      <c r="A16" s="71" t="s">
        <v>41</v>
      </c>
      <c r="B16" s="101">
        <v>3.5000000000000003E-2</v>
      </c>
      <c r="C16" s="102">
        <v>4.4999999999999998E-2</v>
      </c>
      <c r="D16">
        <v>0.08</v>
      </c>
      <c r="E16" s="29">
        <v>7.0000000000000007E-2</v>
      </c>
      <c r="F16" s="29">
        <v>7.4999999999999997E-2</v>
      </c>
      <c r="G16" s="100">
        <v>5.5E-2</v>
      </c>
      <c r="H16" s="54"/>
      <c r="I16" s="54"/>
      <c r="J16" s="54">
        <v>1</v>
      </c>
      <c r="K16" s="54">
        <v>-1</v>
      </c>
      <c r="L16" s="54"/>
      <c r="M16" s="55"/>
      <c r="R16" s="56">
        <f t="shared" ref="R15:R20" si="0">SUMPRODUCT(B16:Q16,$B$12:$Q$12)</f>
        <v>1000</v>
      </c>
      <c r="S16" s="57" t="s">
        <v>14</v>
      </c>
      <c r="T16" s="33">
        <v>1000</v>
      </c>
      <c r="U16" s="58">
        <f t="shared" ref="U16:U19" si="1">SUMPRODUCT(B16:G16,$B$12:$G$12)</f>
        <v>632</v>
      </c>
    </row>
    <row r="17" spans="1:21" x14ac:dyDescent="0.25">
      <c r="A17" s="71" t="s">
        <v>42</v>
      </c>
      <c r="B17" s="53">
        <v>0</v>
      </c>
      <c r="C17" s="54">
        <v>1</v>
      </c>
      <c r="D17" s="107">
        <v>0</v>
      </c>
      <c r="E17" s="107">
        <v>0</v>
      </c>
      <c r="F17" s="29">
        <v>0</v>
      </c>
      <c r="G17" s="99">
        <v>0</v>
      </c>
      <c r="H17" s="105"/>
      <c r="I17" s="54"/>
      <c r="J17" s="54"/>
      <c r="K17" s="54"/>
      <c r="L17" s="54">
        <v>1</v>
      </c>
      <c r="M17" s="54">
        <v>-1</v>
      </c>
      <c r="N17" s="54"/>
      <c r="O17" s="54"/>
      <c r="P17" s="54"/>
      <c r="Q17" s="54"/>
      <c r="R17" s="56">
        <f t="shared" si="0"/>
        <v>900</v>
      </c>
      <c r="S17" s="61" t="s">
        <v>14</v>
      </c>
      <c r="T17" s="62">
        <f>9000*0.1</f>
        <v>900</v>
      </c>
      <c r="U17" s="58">
        <f t="shared" si="1"/>
        <v>900</v>
      </c>
    </row>
    <row r="18" spans="1:21" ht="15.75" thickBot="1" x14ac:dyDescent="0.3">
      <c r="A18" s="106" t="s">
        <v>108</v>
      </c>
      <c r="B18" s="108"/>
      <c r="C18" s="95"/>
      <c r="D18" s="29"/>
      <c r="E18" s="29"/>
      <c r="F18" s="29"/>
      <c r="G18" s="99">
        <v>1</v>
      </c>
      <c r="H18" s="95"/>
      <c r="I18" s="95"/>
      <c r="J18" s="95"/>
      <c r="K18" s="95"/>
      <c r="L18" s="54"/>
      <c r="M18" s="54"/>
      <c r="N18" s="54">
        <v>1</v>
      </c>
      <c r="O18" s="54">
        <v>-1</v>
      </c>
      <c r="P18" s="54"/>
      <c r="Q18" s="54"/>
      <c r="R18" s="56">
        <f t="shared" si="0"/>
        <v>2250</v>
      </c>
      <c r="S18" s="87" t="s">
        <v>14</v>
      </c>
      <c r="T18">
        <f>9000*0.25</f>
        <v>2250</v>
      </c>
      <c r="U18" s="58">
        <f t="shared" si="1"/>
        <v>2250</v>
      </c>
    </row>
    <row r="19" spans="1:21" x14ac:dyDescent="0.25">
      <c r="A19" s="71" t="s">
        <v>109</v>
      </c>
      <c r="B19" s="96">
        <v>1</v>
      </c>
      <c r="C19" s="97">
        <v>1</v>
      </c>
      <c r="D19" s="78">
        <v>1</v>
      </c>
      <c r="E19" s="78"/>
      <c r="F19" s="104"/>
      <c r="G19" s="98"/>
      <c r="H19" s="78"/>
      <c r="I19" s="78"/>
      <c r="J19" s="78"/>
      <c r="K19" s="78"/>
      <c r="L19" s="78"/>
      <c r="M19" s="78"/>
      <c r="N19" s="78"/>
      <c r="O19" s="78"/>
      <c r="P19" s="60">
        <v>1</v>
      </c>
      <c r="Q19" s="60">
        <v>-1</v>
      </c>
      <c r="R19" s="56">
        <f t="shared" si="0"/>
        <v>15</v>
      </c>
      <c r="S19" s="93" t="s">
        <v>14</v>
      </c>
      <c r="T19" s="90">
        <v>15</v>
      </c>
      <c r="U19" s="58">
        <f t="shared" si="1"/>
        <v>6700</v>
      </c>
    </row>
    <row r="20" spans="1:21" ht="15.75" thickBot="1" x14ac:dyDescent="0.3">
      <c r="R20" s="65" t="s">
        <v>16</v>
      </c>
      <c r="S20" s="66" t="s">
        <v>17</v>
      </c>
      <c r="T20" s="66" t="s">
        <v>18</v>
      </c>
      <c r="U20" s="95"/>
    </row>
    <row r="22" spans="1:21" x14ac:dyDescent="0.25">
      <c r="G22" s="2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Solver">
                <anchor moveWithCells="1" sizeWithCells="1">
                  <from>
                    <xdr:col>18</xdr:col>
                    <xdr:colOff>0</xdr:colOff>
                    <xdr:row>10</xdr:row>
                    <xdr:rowOff>9525</xdr:rowOff>
                  </from>
                  <to>
                    <xdr:col>20</xdr:col>
                    <xdr:colOff>0</xdr:colOff>
                    <xdr:row>10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U22"/>
  <sheetViews>
    <sheetView tabSelected="1" zoomScale="85" zoomScaleNormal="85" workbookViewId="0">
      <selection activeCell="H23" sqref="H23"/>
    </sheetView>
  </sheetViews>
  <sheetFormatPr defaultRowHeight="15" x14ac:dyDescent="0.25"/>
  <cols>
    <col min="1" max="1" width="11.5" customWidth="1"/>
  </cols>
  <sheetData>
    <row r="2" spans="1:21" x14ac:dyDescent="0.25">
      <c r="A2" t="s">
        <v>55</v>
      </c>
    </row>
    <row r="3" spans="1:21" x14ac:dyDescent="0.25">
      <c r="A3" t="s">
        <v>56</v>
      </c>
    </row>
    <row r="4" spans="1:21" x14ac:dyDescent="0.25">
      <c r="A4" t="s">
        <v>57</v>
      </c>
      <c r="B4" t="s">
        <v>58</v>
      </c>
      <c r="D4" s="28" t="s">
        <v>63</v>
      </c>
    </row>
    <row r="5" spans="1:21" x14ac:dyDescent="0.25">
      <c r="A5" t="s">
        <v>59</v>
      </c>
      <c r="B5" t="s">
        <v>69</v>
      </c>
      <c r="G5" s="28" t="s">
        <v>64</v>
      </c>
    </row>
    <row r="6" spans="1:21" x14ac:dyDescent="0.25">
      <c r="A6" t="s">
        <v>60</v>
      </c>
      <c r="B6" t="s">
        <v>68</v>
      </c>
      <c r="D6" s="28" t="s">
        <v>65</v>
      </c>
    </row>
    <row r="7" spans="1:21" x14ac:dyDescent="0.25">
      <c r="A7" t="s">
        <v>61</v>
      </c>
      <c r="B7" t="s">
        <v>67</v>
      </c>
      <c r="D7" s="28" t="s">
        <v>66</v>
      </c>
    </row>
    <row r="8" spans="1:21" x14ac:dyDescent="0.25">
      <c r="A8" t="s">
        <v>62</v>
      </c>
      <c r="B8" t="s">
        <v>71</v>
      </c>
      <c r="D8" s="28" t="s">
        <v>70</v>
      </c>
    </row>
    <row r="9" spans="1:21" ht="15.75" thickBot="1" x14ac:dyDescent="0.3"/>
    <row r="10" spans="1:21" ht="15.75" thickBot="1" x14ac:dyDescent="0.3">
      <c r="A10" s="18"/>
      <c r="B10" s="81" t="s">
        <v>98</v>
      </c>
      <c r="C10" s="82" t="s">
        <v>103</v>
      </c>
      <c r="D10" s="83" t="s">
        <v>99</v>
      </c>
      <c r="E10" s="83" t="s">
        <v>100</v>
      </c>
      <c r="F10" s="76" t="s">
        <v>101</v>
      </c>
      <c r="G10" s="76" t="s">
        <v>102</v>
      </c>
      <c r="H10" s="20" t="s">
        <v>32</v>
      </c>
      <c r="I10" s="20" t="s">
        <v>33</v>
      </c>
      <c r="J10" s="20" t="s">
        <v>34</v>
      </c>
      <c r="K10" s="20" t="s">
        <v>35</v>
      </c>
      <c r="L10" s="20" t="s">
        <v>36</v>
      </c>
      <c r="M10" s="21" t="s">
        <v>37</v>
      </c>
      <c r="N10" s="21" t="s">
        <v>104</v>
      </c>
      <c r="O10" s="21" t="s">
        <v>105</v>
      </c>
      <c r="P10" s="21" t="s">
        <v>106</v>
      </c>
      <c r="Q10" s="21" t="s">
        <v>107</v>
      </c>
    </row>
    <row r="11" spans="1:21" ht="39.75" thickBot="1" x14ac:dyDescent="0.3">
      <c r="A11" s="23"/>
      <c r="B11" s="24"/>
      <c r="C11" s="77"/>
      <c r="H11" s="26" t="s">
        <v>47</v>
      </c>
      <c r="I11" s="26" t="s">
        <v>46</v>
      </c>
      <c r="J11" s="27" t="s">
        <v>49</v>
      </c>
      <c r="K11" s="27" t="s">
        <v>48</v>
      </c>
      <c r="L11" s="27" t="s">
        <v>50</v>
      </c>
      <c r="M11" s="27" t="s">
        <v>51</v>
      </c>
      <c r="S11" s="22"/>
      <c r="T11" s="22"/>
      <c r="U11" s="22"/>
    </row>
    <row r="12" spans="1:21" ht="15.75" thickBot="1" x14ac:dyDescent="0.3">
      <c r="A12" s="69" t="s">
        <v>11</v>
      </c>
      <c r="B12" s="36">
        <v>0</v>
      </c>
      <c r="C12" s="39">
        <v>900</v>
      </c>
      <c r="D12" s="80">
        <v>5800</v>
      </c>
      <c r="E12" s="80">
        <v>0</v>
      </c>
      <c r="F12" s="80">
        <v>50</v>
      </c>
      <c r="G12" s="80">
        <v>2250</v>
      </c>
      <c r="H12" s="40">
        <v>0</v>
      </c>
      <c r="I12" s="37">
        <v>0</v>
      </c>
      <c r="J12" s="39">
        <v>458</v>
      </c>
      <c r="K12" s="40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6685</v>
      </c>
      <c r="R12" s="21"/>
      <c r="S12" s="41"/>
      <c r="T12" s="41"/>
      <c r="U12" s="41"/>
    </row>
    <row r="13" spans="1:21" ht="15.75" thickBot="1" x14ac:dyDescent="0.3">
      <c r="A13" s="69" t="s">
        <v>45</v>
      </c>
      <c r="B13" s="42"/>
      <c r="C13" s="43"/>
      <c r="D13" s="79"/>
      <c r="E13" s="76"/>
      <c r="H13" s="43">
        <v>25</v>
      </c>
      <c r="I13" s="43"/>
      <c r="J13" s="43">
        <v>20</v>
      </c>
      <c r="K13" s="43"/>
      <c r="L13" s="43">
        <v>15</v>
      </c>
      <c r="M13" s="43"/>
      <c r="N13" s="43">
        <v>15</v>
      </c>
      <c r="O13" s="43"/>
      <c r="P13" s="43">
        <v>10</v>
      </c>
      <c r="Q13" s="43"/>
      <c r="R13" s="44">
        <f>SUMPRODUCT(B13:Q13,$B$12:$Q$12)</f>
        <v>9160</v>
      </c>
      <c r="S13" s="45"/>
      <c r="T13" s="45"/>
      <c r="U13" s="41"/>
    </row>
    <row r="14" spans="1:21" x14ac:dyDescent="0.25">
      <c r="A14" s="70" t="s">
        <v>12</v>
      </c>
      <c r="B14" s="46"/>
      <c r="C14" s="47"/>
      <c r="E14" s="90"/>
      <c r="F14" s="90"/>
      <c r="G14" s="103"/>
      <c r="H14" s="48"/>
      <c r="I14" s="47"/>
      <c r="J14" s="49"/>
      <c r="K14" s="47"/>
      <c r="L14" s="49"/>
      <c r="M14" s="47"/>
      <c r="R14" s="50"/>
      <c r="S14" s="49"/>
      <c r="T14" s="51"/>
      <c r="U14" s="52" t="s">
        <v>13</v>
      </c>
    </row>
    <row r="15" spans="1:21" x14ac:dyDescent="0.25">
      <c r="A15" s="71" t="s">
        <v>40</v>
      </c>
      <c r="B15" s="53">
        <v>1</v>
      </c>
      <c r="C15" s="54">
        <v>1</v>
      </c>
      <c r="D15">
        <v>1</v>
      </c>
      <c r="E15" s="29">
        <v>1</v>
      </c>
      <c r="F15" s="29">
        <v>1</v>
      </c>
      <c r="G15" s="100">
        <v>1</v>
      </c>
      <c r="H15" s="54">
        <v>1</v>
      </c>
      <c r="I15" s="54"/>
      <c r="J15" s="54"/>
      <c r="K15" s="55"/>
      <c r="L15" s="55"/>
      <c r="M15" s="54"/>
      <c r="R15" s="56">
        <f>SUMPRODUCT(B15:Q15,$B$12:$Q$12)</f>
        <v>9000</v>
      </c>
      <c r="S15" s="57" t="s">
        <v>14</v>
      </c>
      <c r="T15" s="33">
        <v>9000</v>
      </c>
      <c r="U15" s="58">
        <f>SUMPRODUCT(B15:G15,$B$12:$G$12)</f>
        <v>9000</v>
      </c>
    </row>
    <row r="16" spans="1:21" x14ac:dyDescent="0.25">
      <c r="A16" s="71" t="s">
        <v>41</v>
      </c>
      <c r="B16" s="101">
        <v>3.5000000000000003E-2</v>
      </c>
      <c r="C16" s="102">
        <v>4.4999999999999998E-2</v>
      </c>
      <c r="D16">
        <v>0.08</v>
      </c>
      <c r="E16" s="29">
        <v>7.0000000000000007E-2</v>
      </c>
      <c r="F16" s="29">
        <v>7.4999999999999997E-2</v>
      </c>
      <c r="G16" s="100">
        <v>1.4999999999999999E-2</v>
      </c>
      <c r="H16" s="54"/>
      <c r="I16" s="54"/>
      <c r="J16" s="54">
        <v>1</v>
      </c>
      <c r="K16" s="54">
        <v>-1</v>
      </c>
      <c r="L16" s="54"/>
      <c r="M16" s="55"/>
      <c r="R16" s="56">
        <f t="shared" ref="R16:R19" si="0">SUMPRODUCT(B16:Q16,$B$12:$Q$12)</f>
        <v>1000</v>
      </c>
      <c r="S16" s="57" t="s">
        <v>14</v>
      </c>
      <c r="T16" s="33">
        <v>1000</v>
      </c>
      <c r="U16" s="58">
        <f t="shared" ref="U16:U19" si="1">SUMPRODUCT(B16:G16,$B$12:$G$12)</f>
        <v>542</v>
      </c>
    </row>
    <row r="17" spans="1:21" x14ac:dyDescent="0.25">
      <c r="A17" s="71" t="s">
        <v>42</v>
      </c>
      <c r="B17" s="53">
        <v>0</v>
      </c>
      <c r="C17" s="54">
        <v>1</v>
      </c>
      <c r="D17" s="107">
        <v>0</v>
      </c>
      <c r="E17" s="107">
        <v>0</v>
      </c>
      <c r="F17" s="29">
        <v>0</v>
      </c>
      <c r="G17" s="99">
        <v>0</v>
      </c>
      <c r="H17" s="105"/>
      <c r="I17" s="54"/>
      <c r="J17" s="54"/>
      <c r="K17" s="54"/>
      <c r="L17" s="54">
        <v>1</v>
      </c>
      <c r="M17" s="54">
        <v>-1</v>
      </c>
      <c r="N17" s="54"/>
      <c r="O17" s="54"/>
      <c r="P17" s="54"/>
      <c r="Q17" s="54"/>
      <c r="R17" s="56">
        <f t="shared" si="0"/>
        <v>900</v>
      </c>
      <c r="S17" s="61" t="s">
        <v>14</v>
      </c>
      <c r="T17" s="62">
        <f>9000*0.1</f>
        <v>900</v>
      </c>
      <c r="U17" s="58">
        <f t="shared" si="1"/>
        <v>900</v>
      </c>
    </row>
    <row r="18" spans="1:21" ht="15.75" thickBot="1" x14ac:dyDescent="0.3">
      <c r="A18" s="106" t="s">
        <v>108</v>
      </c>
      <c r="B18" s="108"/>
      <c r="C18" s="95"/>
      <c r="D18" s="29"/>
      <c r="E18" s="29"/>
      <c r="F18" s="29"/>
      <c r="G18" s="99">
        <v>1</v>
      </c>
      <c r="H18" s="95"/>
      <c r="I18" s="95"/>
      <c r="J18" s="95"/>
      <c r="K18" s="95"/>
      <c r="L18" s="54"/>
      <c r="M18" s="54"/>
      <c r="N18" s="54">
        <v>1</v>
      </c>
      <c r="O18" s="54">
        <v>-1</v>
      </c>
      <c r="P18" s="54"/>
      <c r="Q18" s="54"/>
      <c r="R18" s="56">
        <f t="shared" si="0"/>
        <v>2250</v>
      </c>
      <c r="S18" s="87" t="s">
        <v>14</v>
      </c>
      <c r="T18">
        <f>9000*0.25</f>
        <v>2250</v>
      </c>
      <c r="U18" s="58">
        <f t="shared" si="1"/>
        <v>2250</v>
      </c>
    </row>
    <row r="19" spans="1:21" x14ac:dyDescent="0.25">
      <c r="A19" s="71" t="s">
        <v>109</v>
      </c>
      <c r="B19" s="96">
        <v>1</v>
      </c>
      <c r="C19" s="97">
        <v>1</v>
      </c>
      <c r="D19" s="78">
        <v>1</v>
      </c>
      <c r="E19" s="78"/>
      <c r="F19" s="104"/>
      <c r="G19" s="98"/>
      <c r="H19" s="78"/>
      <c r="I19" s="78"/>
      <c r="J19" s="78"/>
      <c r="K19" s="78"/>
      <c r="L19" s="78"/>
      <c r="M19" s="78"/>
      <c r="N19" s="78"/>
      <c r="O19" s="78"/>
      <c r="P19" s="60">
        <v>1</v>
      </c>
      <c r="Q19" s="60">
        <v>-1</v>
      </c>
      <c r="R19" s="56">
        <f t="shared" si="0"/>
        <v>15</v>
      </c>
      <c r="S19" s="93" t="s">
        <v>14</v>
      </c>
      <c r="T19" s="90">
        <v>15</v>
      </c>
      <c r="U19" s="58">
        <f t="shared" si="1"/>
        <v>6700</v>
      </c>
    </row>
    <row r="20" spans="1:21" ht="15.75" thickBot="1" x14ac:dyDescent="0.3">
      <c r="R20" s="65" t="s">
        <v>16</v>
      </c>
      <c r="S20" s="66" t="s">
        <v>17</v>
      </c>
      <c r="T20" s="66" t="s">
        <v>18</v>
      </c>
      <c r="U20" s="95"/>
    </row>
    <row r="22" spans="1:21" x14ac:dyDescent="0.25">
      <c r="G22" s="2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olver">
                <anchor moveWithCells="1" sizeWithCells="1">
                  <from>
                    <xdr:col>18</xdr:col>
                    <xdr:colOff>0</xdr:colOff>
                    <xdr:row>10</xdr:row>
                    <xdr:rowOff>9525</xdr:rowOff>
                  </from>
                  <to>
                    <xdr:col>20</xdr:col>
                    <xdr:colOff>0</xdr:colOff>
                    <xdr:row>10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1</vt:lpstr>
      <vt:lpstr>2a</vt:lpstr>
      <vt:lpstr>2b</vt:lpstr>
      <vt:lpstr>2c..</vt:lpstr>
      <vt:lpstr>3 (1)</vt:lpstr>
      <vt:lpstr>3 (2)</vt:lpstr>
      <vt:lpstr>3 (3)</vt:lpstr>
      <vt:lpstr>4</vt:lpstr>
      <vt:lpstr>4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Teno</dc:creator>
  <cp:lastModifiedBy>Teno</cp:lastModifiedBy>
  <dcterms:created xsi:type="dcterms:W3CDTF">2016-10-20T02:14:00Z</dcterms:created>
  <dcterms:modified xsi:type="dcterms:W3CDTF">2016-10-21T22:57:29Z</dcterms:modified>
</cp:coreProperties>
</file>